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Window\Desktop\Ciclo 01-2021 Daniel Pineda\A&amp;Q\"/>
    </mc:Choice>
  </mc:AlternateContent>
  <xr:revisionPtr revIDLastSave="0" documentId="13_ncr:1_{A45E00BB-9A76-4E28-A746-CA2CAA50261B}" xr6:coauthVersionLast="47" xr6:coauthVersionMax="47" xr10:uidLastSave="{00000000-0000-0000-0000-000000000000}"/>
  <workbookProtection workbookAlgorithmName="SHA-512" workbookHashValue="cuvdS3hg/f15x0adAel0XDz12qaX5wdcbAW32outwgpqm5kJ5wvORNEaQJJ7Gx3+/65v/AQAtH5YtXRZBYOmNg==" workbookSaltValue="ETwRINREEqYbXEB7UdBr/w==" workbookSpinCount="100000" lockStructure="1"/>
  <bookViews>
    <workbookView xWindow="-120" yWindow="-120" windowWidth="20730" windowHeight="11160" xr2:uid="{00000000-000D-0000-FFFF-FFFF00000000}"/>
  </bookViews>
  <sheets>
    <sheet name="INICIO" sheetId="3" r:id="rId1"/>
    <sheet name="FACTORES " sheetId="2" r:id="rId2"/>
    <sheet name="GRÁFICO X-R" sheetId="6" r:id="rId3"/>
    <sheet name="GRÁFICO X-S" sheetId="1" r:id="rId4"/>
    <sheet name="GRÁFICO X-S (n cambiante)" sheetId="7" r:id="rId5"/>
    <sheet name="GRÁFICO I" sheetId="13" r:id="rId6"/>
    <sheet name="GRÁFICO P" sheetId="8" r:id="rId7"/>
    <sheet name="GRÁFICO P (N CAMBIANTE)" sheetId="10" r:id="rId8"/>
    <sheet name="GRÁFICO NP" sheetId="9" r:id="rId9"/>
    <sheet name="GRÁFICO C" sheetId="11" r:id="rId10"/>
    <sheet name="GRÁFICO U" sheetId="12" r:id="rId11"/>
  </sheets>
  <definedNames>
    <definedName name="FACTORES">'FACTORES '!$A$6:$O$29</definedName>
    <definedName name="RESULTADOS">'GRÁFICO I'!$O$3</definedName>
    <definedName name="RESULTADOSI">'GRÁFICO I'!$O$3</definedName>
    <definedName name="RESULTADOSNP">'GRÁFICO NP'!$U$2</definedName>
    <definedName name="RESULTADOSP">'GRÁFICO P'!$V$3</definedName>
    <definedName name="RESULTADOSPN">'GRÁFICO P (N CAMBIANTE)'!$V$3</definedName>
    <definedName name="RESULTADOSXR" localSheetId="2">'GRÁFICO X-R'!$AN$3</definedName>
    <definedName name="RESULTADOSXR" localSheetId="4">'GRÁFICO X-S (n cambiante)'!$AR$3</definedName>
    <definedName name="RESULTADOSXR">'GRÁFICO X-S'!$AN$3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0" i="7" l="1"/>
  <c r="G9" i="12" l="1"/>
  <c r="G8" i="12"/>
  <c r="H38" i="12" l="1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H114" i="12"/>
  <c r="H115" i="12"/>
  <c r="F11" i="12"/>
  <c r="F12" i="12"/>
  <c r="F15" i="12"/>
  <c r="F16" i="12"/>
  <c r="F19" i="12"/>
  <c r="F20" i="12"/>
  <c r="F23" i="12"/>
  <c r="F24" i="12"/>
  <c r="F27" i="12"/>
  <c r="F28" i="12"/>
  <c r="F31" i="12"/>
  <c r="F32" i="12"/>
  <c r="F35" i="12"/>
  <c r="F36" i="12"/>
  <c r="F39" i="12"/>
  <c r="F40" i="12"/>
  <c r="F43" i="12"/>
  <c r="F44" i="12"/>
  <c r="F47" i="12"/>
  <c r="F48" i="12"/>
  <c r="F51" i="12"/>
  <c r="F52" i="12"/>
  <c r="F55" i="12"/>
  <c r="F56" i="12"/>
  <c r="F59" i="12"/>
  <c r="F60" i="12"/>
  <c r="F63" i="12"/>
  <c r="F64" i="12"/>
  <c r="F67" i="12"/>
  <c r="F68" i="12"/>
  <c r="F71" i="12"/>
  <c r="F72" i="12"/>
  <c r="F75" i="12"/>
  <c r="F76" i="12"/>
  <c r="F79" i="12"/>
  <c r="F80" i="12"/>
  <c r="F83" i="12"/>
  <c r="F84" i="12"/>
  <c r="F87" i="12"/>
  <c r="F88" i="12"/>
  <c r="F91" i="12"/>
  <c r="F92" i="12"/>
  <c r="F95" i="12"/>
  <c r="F96" i="12"/>
  <c r="F99" i="12"/>
  <c r="F100" i="12"/>
  <c r="F103" i="12"/>
  <c r="F104" i="12"/>
  <c r="F107" i="12"/>
  <c r="F108" i="12"/>
  <c r="F111" i="12"/>
  <c r="F112" i="12"/>
  <c r="F115" i="12"/>
  <c r="F8" i="12"/>
  <c r="Q10" i="12" s="1"/>
  <c r="J38" i="12"/>
  <c r="I38" i="12" s="1"/>
  <c r="J39" i="12"/>
  <c r="J40" i="12"/>
  <c r="I40" i="12" s="1"/>
  <c r="J41" i="12"/>
  <c r="I41" i="12" s="1"/>
  <c r="J42" i="12"/>
  <c r="I42" i="12" s="1"/>
  <c r="J43" i="12"/>
  <c r="J44" i="12"/>
  <c r="I44" i="12" s="1"/>
  <c r="J45" i="12"/>
  <c r="J46" i="12"/>
  <c r="I46" i="12" s="1"/>
  <c r="J47" i="12"/>
  <c r="J48" i="12"/>
  <c r="I48" i="12" s="1"/>
  <c r="J49" i="12"/>
  <c r="I49" i="12" s="1"/>
  <c r="J50" i="12"/>
  <c r="I50" i="12" s="1"/>
  <c r="J51" i="12"/>
  <c r="J52" i="12"/>
  <c r="I52" i="12" s="1"/>
  <c r="J53" i="12"/>
  <c r="J54" i="12"/>
  <c r="I54" i="12" s="1"/>
  <c r="J55" i="12"/>
  <c r="J56" i="12"/>
  <c r="I56" i="12" s="1"/>
  <c r="J57" i="12"/>
  <c r="I57" i="12" s="1"/>
  <c r="J58" i="12"/>
  <c r="I58" i="12" s="1"/>
  <c r="J59" i="12"/>
  <c r="J60" i="12"/>
  <c r="I60" i="12" s="1"/>
  <c r="J61" i="12"/>
  <c r="J62" i="12"/>
  <c r="I62" i="12" s="1"/>
  <c r="J63" i="12"/>
  <c r="J64" i="12"/>
  <c r="I64" i="12" s="1"/>
  <c r="J65" i="12"/>
  <c r="I65" i="12" s="1"/>
  <c r="J66" i="12"/>
  <c r="I66" i="12" s="1"/>
  <c r="J67" i="12"/>
  <c r="J68" i="12"/>
  <c r="I68" i="12" s="1"/>
  <c r="J69" i="12"/>
  <c r="J70" i="12"/>
  <c r="I70" i="12" s="1"/>
  <c r="J71" i="12"/>
  <c r="J72" i="12"/>
  <c r="I72" i="12" s="1"/>
  <c r="J73" i="12"/>
  <c r="I73" i="12" s="1"/>
  <c r="J74" i="12"/>
  <c r="I74" i="12" s="1"/>
  <c r="J75" i="12"/>
  <c r="J76" i="12"/>
  <c r="I76" i="12" s="1"/>
  <c r="J77" i="12"/>
  <c r="J78" i="12"/>
  <c r="I78" i="12" s="1"/>
  <c r="J79" i="12"/>
  <c r="J80" i="12"/>
  <c r="I80" i="12" s="1"/>
  <c r="J81" i="12"/>
  <c r="I81" i="12" s="1"/>
  <c r="J82" i="12"/>
  <c r="I82" i="12" s="1"/>
  <c r="J83" i="12"/>
  <c r="J84" i="12"/>
  <c r="I84" i="12" s="1"/>
  <c r="J85" i="12"/>
  <c r="J86" i="12"/>
  <c r="I86" i="12" s="1"/>
  <c r="J87" i="12"/>
  <c r="J88" i="12"/>
  <c r="I88" i="12" s="1"/>
  <c r="J89" i="12"/>
  <c r="I89" i="12" s="1"/>
  <c r="J90" i="12"/>
  <c r="I90" i="12" s="1"/>
  <c r="J91" i="12"/>
  <c r="J92" i="12"/>
  <c r="I92" i="12" s="1"/>
  <c r="J93" i="12"/>
  <c r="J94" i="12"/>
  <c r="I94" i="12" s="1"/>
  <c r="J95" i="12"/>
  <c r="J96" i="12"/>
  <c r="I96" i="12" s="1"/>
  <c r="J97" i="12"/>
  <c r="I97" i="12" s="1"/>
  <c r="J98" i="12"/>
  <c r="I98" i="12" s="1"/>
  <c r="J99" i="12"/>
  <c r="J100" i="12"/>
  <c r="I100" i="12" s="1"/>
  <c r="J101" i="12"/>
  <c r="J102" i="12"/>
  <c r="I102" i="12" s="1"/>
  <c r="J103" i="12"/>
  <c r="J104" i="12"/>
  <c r="I104" i="12" s="1"/>
  <c r="J105" i="12"/>
  <c r="I105" i="12" s="1"/>
  <c r="J106" i="12"/>
  <c r="I106" i="12" s="1"/>
  <c r="J107" i="12"/>
  <c r="J108" i="12"/>
  <c r="I108" i="12" s="1"/>
  <c r="J109" i="12"/>
  <c r="J110" i="12"/>
  <c r="I110" i="12" s="1"/>
  <c r="J111" i="12"/>
  <c r="J112" i="12"/>
  <c r="I112" i="12" s="1"/>
  <c r="J113" i="12"/>
  <c r="I113" i="12" s="1"/>
  <c r="J114" i="12"/>
  <c r="I114" i="12" s="1"/>
  <c r="J115" i="12"/>
  <c r="E8" i="12"/>
  <c r="E9" i="12"/>
  <c r="H9" i="12" s="1"/>
  <c r="E12" i="12"/>
  <c r="J12" i="12" s="1"/>
  <c r="E13" i="12"/>
  <c r="H13" i="12" s="1"/>
  <c r="E16" i="12"/>
  <c r="J16" i="12" s="1"/>
  <c r="E17" i="12"/>
  <c r="J17" i="12" s="1"/>
  <c r="E20" i="12"/>
  <c r="J20" i="12" s="1"/>
  <c r="E21" i="12"/>
  <c r="H21" i="12" s="1"/>
  <c r="E24" i="12"/>
  <c r="J24" i="12" s="1"/>
  <c r="E25" i="12"/>
  <c r="H25" i="12" s="1"/>
  <c r="E28" i="12"/>
  <c r="J28" i="12" s="1"/>
  <c r="E29" i="12"/>
  <c r="J29" i="12" s="1"/>
  <c r="E32" i="12"/>
  <c r="J32" i="12" s="1"/>
  <c r="E33" i="12"/>
  <c r="H33" i="12" s="1"/>
  <c r="E36" i="12"/>
  <c r="J36" i="12" s="1"/>
  <c r="E37" i="12"/>
  <c r="H37" i="12" s="1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D38" i="12"/>
  <c r="F38" i="12" s="1"/>
  <c r="D9" i="12"/>
  <c r="F9" i="12" s="1"/>
  <c r="D10" i="12"/>
  <c r="F10" i="12" s="1"/>
  <c r="D11" i="12"/>
  <c r="D12" i="12"/>
  <c r="D13" i="12"/>
  <c r="F13" i="12" s="1"/>
  <c r="D14" i="12"/>
  <c r="F14" i="12" s="1"/>
  <c r="D15" i="12"/>
  <c r="D16" i="12"/>
  <c r="D17" i="12"/>
  <c r="F17" i="12" s="1"/>
  <c r="D18" i="12"/>
  <c r="F18" i="12" s="1"/>
  <c r="D19" i="12"/>
  <c r="D20" i="12"/>
  <c r="D21" i="12"/>
  <c r="F21" i="12" s="1"/>
  <c r="D22" i="12"/>
  <c r="F22" i="12" s="1"/>
  <c r="D23" i="12"/>
  <c r="D24" i="12"/>
  <c r="D25" i="12"/>
  <c r="F25" i="12" s="1"/>
  <c r="D26" i="12"/>
  <c r="F26" i="12" s="1"/>
  <c r="D27" i="12"/>
  <c r="D28" i="12"/>
  <c r="D29" i="12"/>
  <c r="F29" i="12" s="1"/>
  <c r="D30" i="12"/>
  <c r="F30" i="12" s="1"/>
  <c r="D31" i="12"/>
  <c r="D32" i="12"/>
  <c r="D33" i="12"/>
  <c r="F33" i="12" s="1"/>
  <c r="D34" i="12"/>
  <c r="F34" i="12" s="1"/>
  <c r="D35" i="12"/>
  <c r="D36" i="12"/>
  <c r="D37" i="12"/>
  <c r="F37" i="12" s="1"/>
  <c r="D39" i="12"/>
  <c r="D40" i="12"/>
  <c r="D41" i="12"/>
  <c r="F41" i="12" s="1"/>
  <c r="D42" i="12"/>
  <c r="F42" i="12" s="1"/>
  <c r="D43" i="12"/>
  <c r="D44" i="12"/>
  <c r="D45" i="12"/>
  <c r="F45" i="12" s="1"/>
  <c r="D46" i="12"/>
  <c r="F46" i="12" s="1"/>
  <c r="D47" i="12"/>
  <c r="D48" i="12"/>
  <c r="D49" i="12"/>
  <c r="F49" i="12" s="1"/>
  <c r="D50" i="12"/>
  <c r="F50" i="12" s="1"/>
  <c r="D51" i="12"/>
  <c r="D52" i="12"/>
  <c r="D53" i="12"/>
  <c r="F53" i="12" s="1"/>
  <c r="D54" i="12"/>
  <c r="F54" i="12" s="1"/>
  <c r="D55" i="12"/>
  <c r="D56" i="12"/>
  <c r="D57" i="12"/>
  <c r="F57" i="12" s="1"/>
  <c r="D58" i="12"/>
  <c r="F58" i="12" s="1"/>
  <c r="D59" i="12"/>
  <c r="D60" i="12"/>
  <c r="D61" i="12"/>
  <c r="F61" i="12" s="1"/>
  <c r="D62" i="12"/>
  <c r="F62" i="12" s="1"/>
  <c r="D63" i="12"/>
  <c r="D64" i="12"/>
  <c r="D65" i="12"/>
  <c r="F65" i="12" s="1"/>
  <c r="D66" i="12"/>
  <c r="F66" i="12" s="1"/>
  <c r="D67" i="12"/>
  <c r="D68" i="12"/>
  <c r="D69" i="12"/>
  <c r="F69" i="12" s="1"/>
  <c r="D70" i="12"/>
  <c r="F70" i="12" s="1"/>
  <c r="D71" i="12"/>
  <c r="D72" i="12"/>
  <c r="D73" i="12"/>
  <c r="F73" i="12" s="1"/>
  <c r="D74" i="12"/>
  <c r="F74" i="12" s="1"/>
  <c r="D75" i="12"/>
  <c r="D76" i="12"/>
  <c r="D77" i="12"/>
  <c r="F77" i="12" s="1"/>
  <c r="D78" i="12"/>
  <c r="F78" i="12" s="1"/>
  <c r="D79" i="12"/>
  <c r="D80" i="12"/>
  <c r="D81" i="12"/>
  <c r="F81" i="12" s="1"/>
  <c r="D82" i="12"/>
  <c r="F82" i="12" s="1"/>
  <c r="D83" i="12"/>
  <c r="D84" i="12"/>
  <c r="D85" i="12"/>
  <c r="F85" i="12" s="1"/>
  <c r="D86" i="12"/>
  <c r="F86" i="12" s="1"/>
  <c r="D87" i="12"/>
  <c r="D88" i="12"/>
  <c r="D89" i="12"/>
  <c r="F89" i="12" s="1"/>
  <c r="D90" i="12"/>
  <c r="F90" i="12" s="1"/>
  <c r="D91" i="12"/>
  <c r="D92" i="12"/>
  <c r="D93" i="12"/>
  <c r="F93" i="12" s="1"/>
  <c r="D94" i="12"/>
  <c r="F94" i="12" s="1"/>
  <c r="D95" i="12"/>
  <c r="D96" i="12"/>
  <c r="D97" i="12"/>
  <c r="F97" i="12" s="1"/>
  <c r="D98" i="12"/>
  <c r="F98" i="12" s="1"/>
  <c r="D99" i="12"/>
  <c r="D100" i="12"/>
  <c r="D101" i="12"/>
  <c r="F101" i="12" s="1"/>
  <c r="D102" i="12"/>
  <c r="F102" i="12" s="1"/>
  <c r="D103" i="12"/>
  <c r="D104" i="12"/>
  <c r="D105" i="12"/>
  <c r="F105" i="12" s="1"/>
  <c r="D106" i="12"/>
  <c r="F106" i="12" s="1"/>
  <c r="D107" i="12"/>
  <c r="D108" i="12"/>
  <c r="D109" i="12"/>
  <c r="F109" i="12" s="1"/>
  <c r="D110" i="12"/>
  <c r="F110" i="12" s="1"/>
  <c r="D111" i="12"/>
  <c r="D112" i="12"/>
  <c r="D113" i="12"/>
  <c r="F113" i="12" s="1"/>
  <c r="D114" i="12"/>
  <c r="F114" i="12" s="1"/>
  <c r="D115" i="12"/>
  <c r="D8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I115" i="12"/>
  <c r="I111" i="12"/>
  <c r="I109" i="12"/>
  <c r="I107" i="12"/>
  <c r="I103" i="12"/>
  <c r="I101" i="12"/>
  <c r="I99" i="12"/>
  <c r="I95" i="12"/>
  <c r="I93" i="12"/>
  <c r="I91" i="12"/>
  <c r="I87" i="12"/>
  <c r="I85" i="12"/>
  <c r="I83" i="12"/>
  <c r="I79" i="12"/>
  <c r="I77" i="12"/>
  <c r="I75" i="12"/>
  <c r="I71" i="12"/>
  <c r="I69" i="12"/>
  <c r="I67" i="12"/>
  <c r="I63" i="12"/>
  <c r="I61" i="12"/>
  <c r="I59" i="12"/>
  <c r="I55" i="12"/>
  <c r="I53" i="12"/>
  <c r="I51" i="12"/>
  <c r="I47" i="12"/>
  <c r="I45" i="12"/>
  <c r="I43" i="12"/>
  <c r="I39" i="12"/>
  <c r="J1" i="11"/>
  <c r="J2" i="11"/>
  <c r="C8" i="11"/>
  <c r="F8" i="11" s="1"/>
  <c r="E8" i="11" s="1"/>
  <c r="F48" i="11"/>
  <c r="E48" i="11" s="1"/>
  <c r="F64" i="11"/>
  <c r="E64" i="11" s="1"/>
  <c r="F80" i="11"/>
  <c r="E80" i="11" s="1"/>
  <c r="F96" i="11"/>
  <c r="E96" i="11" s="1"/>
  <c r="F112" i="11"/>
  <c r="E112" i="11" s="1"/>
  <c r="D33" i="11"/>
  <c r="D45" i="11"/>
  <c r="D61" i="11"/>
  <c r="D77" i="11"/>
  <c r="D93" i="11"/>
  <c r="D109" i="11"/>
  <c r="C9" i="11"/>
  <c r="D9" i="11" s="1"/>
  <c r="C10" i="11"/>
  <c r="D10" i="11" s="1"/>
  <c r="C11" i="11"/>
  <c r="D11" i="11" s="1"/>
  <c r="C12" i="11"/>
  <c r="D12" i="11" s="1"/>
  <c r="C13" i="11"/>
  <c r="D13" i="11" s="1"/>
  <c r="C14" i="11"/>
  <c r="D14" i="11" s="1"/>
  <c r="C15" i="11"/>
  <c r="D15" i="11" s="1"/>
  <c r="C16" i="11"/>
  <c r="D16" i="11" s="1"/>
  <c r="C17" i="11"/>
  <c r="D17" i="11" s="1"/>
  <c r="C18" i="11"/>
  <c r="D18" i="11" s="1"/>
  <c r="C19" i="11"/>
  <c r="D19" i="11" s="1"/>
  <c r="C20" i="11"/>
  <c r="D20" i="11" s="1"/>
  <c r="C21" i="11"/>
  <c r="D21" i="11" s="1"/>
  <c r="C22" i="11"/>
  <c r="D22" i="11" s="1"/>
  <c r="C23" i="11"/>
  <c r="D23" i="11" s="1"/>
  <c r="C24" i="11"/>
  <c r="D24" i="11" s="1"/>
  <c r="C25" i="11"/>
  <c r="D25" i="11" s="1"/>
  <c r="C26" i="11"/>
  <c r="D26" i="11" s="1"/>
  <c r="C27" i="11"/>
  <c r="D27" i="11" s="1"/>
  <c r="C28" i="11"/>
  <c r="D28" i="11" s="1"/>
  <c r="C29" i="11"/>
  <c r="D29" i="11" s="1"/>
  <c r="C30" i="11"/>
  <c r="D30" i="11" s="1"/>
  <c r="C31" i="11"/>
  <c r="D31" i="11" s="1"/>
  <c r="C32" i="11"/>
  <c r="D32" i="11" s="1"/>
  <c r="C33" i="11"/>
  <c r="F33" i="11" s="1"/>
  <c r="E33" i="11" s="1"/>
  <c r="C34" i="11"/>
  <c r="D34" i="11" s="1"/>
  <c r="C35" i="11"/>
  <c r="D35" i="11" s="1"/>
  <c r="C36" i="11"/>
  <c r="D36" i="11" s="1"/>
  <c r="C37" i="11"/>
  <c r="F37" i="11" s="1"/>
  <c r="E37" i="11" s="1"/>
  <c r="C38" i="11"/>
  <c r="D38" i="11" s="1"/>
  <c r="C39" i="11"/>
  <c r="D39" i="11" s="1"/>
  <c r="C40" i="11"/>
  <c r="D40" i="11" s="1"/>
  <c r="C41" i="11"/>
  <c r="F41" i="11" s="1"/>
  <c r="E41" i="11" s="1"/>
  <c r="C42" i="11"/>
  <c r="D42" i="11" s="1"/>
  <c r="C43" i="11"/>
  <c r="D43" i="11" s="1"/>
  <c r="C44" i="11"/>
  <c r="D44" i="11" s="1"/>
  <c r="C45" i="11"/>
  <c r="F45" i="11" s="1"/>
  <c r="E45" i="11" s="1"/>
  <c r="C46" i="11"/>
  <c r="D46" i="11" s="1"/>
  <c r="C47" i="11"/>
  <c r="D47" i="11" s="1"/>
  <c r="C48" i="11"/>
  <c r="D48" i="11" s="1"/>
  <c r="C49" i="11"/>
  <c r="F49" i="11" s="1"/>
  <c r="E49" i="11" s="1"/>
  <c r="C50" i="11"/>
  <c r="D50" i="11" s="1"/>
  <c r="C51" i="11"/>
  <c r="D51" i="11" s="1"/>
  <c r="C52" i="11"/>
  <c r="D52" i="11" s="1"/>
  <c r="C53" i="11"/>
  <c r="F53" i="11" s="1"/>
  <c r="E53" i="11" s="1"/>
  <c r="C54" i="11"/>
  <c r="D54" i="11" s="1"/>
  <c r="C55" i="11"/>
  <c r="D55" i="11" s="1"/>
  <c r="C56" i="11"/>
  <c r="D56" i="11" s="1"/>
  <c r="C57" i="11"/>
  <c r="F57" i="11" s="1"/>
  <c r="E57" i="11" s="1"/>
  <c r="C58" i="11"/>
  <c r="D58" i="11" s="1"/>
  <c r="C59" i="11"/>
  <c r="D59" i="11" s="1"/>
  <c r="C60" i="11"/>
  <c r="D60" i="11" s="1"/>
  <c r="C61" i="11"/>
  <c r="F61" i="11" s="1"/>
  <c r="E61" i="11" s="1"/>
  <c r="C62" i="11"/>
  <c r="D62" i="11" s="1"/>
  <c r="C63" i="11"/>
  <c r="D63" i="11" s="1"/>
  <c r="C64" i="11"/>
  <c r="D64" i="11" s="1"/>
  <c r="C65" i="11"/>
  <c r="F65" i="11" s="1"/>
  <c r="E65" i="11" s="1"/>
  <c r="C66" i="11"/>
  <c r="D66" i="11" s="1"/>
  <c r="C67" i="11"/>
  <c r="D67" i="11" s="1"/>
  <c r="C68" i="11"/>
  <c r="D68" i="11" s="1"/>
  <c r="C69" i="11"/>
  <c r="F69" i="11" s="1"/>
  <c r="E69" i="11" s="1"/>
  <c r="C70" i="11"/>
  <c r="D70" i="11" s="1"/>
  <c r="C71" i="11"/>
  <c r="D71" i="11" s="1"/>
  <c r="C72" i="11"/>
  <c r="D72" i="11" s="1"/>
  <c r="C73" i="11"/>
  <c r="F73" i="11" s="1"/>
  <c r="E73" i="11" s="1"/>
  <c r="C74" i="11"/>
  <c r="D74" i="11" s="1"/>
  <c r="C75" i="11"/>
  <c r="D75" i="11" s="1"/>
  <c r="C76" i="11"/>
  <c r="D76" i="11" s="1"/>
  <c r="C77" i="11"/>
  <c r="F77" i="11" s="1"/>
  <c r="E77" i="11" s="1"/>
  <c r="C78" i="11"/>
  <c r="D78" i="11" s="1"/>
  <c r="C79" i="11"/>
  <c r="D79" i="11" s="1"/>
  <c r="C80" i="11"/>
  <c r="D80" i="11" s="1"/>
  <c r="C81" i="11"/>
  <c r="F81" i="11" s="1"/>
  <c r="E81" i="11" s="1"/>
  <c r="C82" i="11"/>
  <c r="D82" i="11" s="1"/>
  <c r="C83" i="11"/>
  <c r="D83" i="11" s="1"/>
  <c r="C84" i="11"/>
  <c r="D84" i="11" s="1"/>
  <c r="C85" i="11"/>
  <c r="F85" i="11" s="1"/>
  <c r="E85" i="11" s="1"/>
  <c r="C86" i="11"/>
  <c r="D86" i="11" s="1"/>
  <c r="C87" i="11"/>
  <c r="D87" i="11" s="1"/>
  <c r="C88" i="11"/>
  <c r="D88" i="11" s="1"/>
  <c r="C89" i="11"/>
  <c r="F89" i="11" s="1"/>
  <c r="E89" i="11" s="1"/>
  <c r="C90" i="11"/>
  <c r="D90" i="11" s="1"/>
  <c r="C91" i="11"/>
  <c r="D91" i="11" s="1"/>
  <c r="C92" i="11"/>
  <c r="D92" i="11" s="1"/>
  <c r="C93" i="11"/>
  <c r="F93" i="11" s="1"/>
  <c r="E93" i="11" s="1"/>
  <c r="C94" i="11"/>
  <c r="D94" i="11" s="1"/>
  <c r="C95" i="11"/>
  <c r="D95" i="11" s="1"/>
  <c r="C96" i="11"/>
  <c r="D96" i="11" s="1"/>
  <c r="C97" i="11"/>
  <c r="F97" i="11" s="1"/>
  <c r="E97" i="11" s="1"/>
  <c r="C98" i="11"/>
  <c r="D98" i="11" s="1"/>
  <c r="C99" i="11"/>
  <c r="D99" i="11" s="1"/>
  <c r="C100" i="11"/>
  <c r="D100" i="11" s="1"/>
  <c r="C101" i="11"/>
  <c r="F101" i="11" s="1"/>
  <c r="E101" i="11" s="1"/>
  <c r="C102" i="11"/>
  <c r="D102" i="11" s="1"/>
  <c r="C103" i="11"/>
  <c r="D103" i="11" s="1"/>
  <c r="C104" i="11"/>
  <c r="D104" i="11" s="1"/>
  <c r="C105" i="11"/>
  <c r="F105" i="11" s="1"/>
  <c r="E105" i="11" s="1"/>
  <c r="C106" i="11"/>
  <c r="D106" i="11" s="1"/>
  <c r="C107" i="11"/>
  <c r="D107" i="11" s="1"/>
  <c r="C108" i="11"/>
  <c r="D108" i="11" s="1"/>
  <c r="C109" i="11"/>
  <c r="F109" i="11" s="1"/>
  <c r="E109" i="11" s="1"/>
  <c r="C110" i="11"/>
  <c r="D110" i="11" s="1"/>
  <c r="C111" i="11"/>
  <c r="D111" i="11" s="1"/>
  <c r="C112" i="11"/>
  <c r="D112" i="11" s="1"/>
  <c r="C113" i="11"/>
  <c r="F113" i="11" s="1"/>
  <c r="E113" i="11" s="1"/>
  <c r="C114" i="11"/>
  <c r="D114" i="11" s="1"/>
  <c r="C115" i="11"/>
  <c r="D115" i="11" s="1"/>
  <c r="H31" i="12" l="1"/>
  <c r="H26" i="12"/>
  <c r="J37" i="12"/>
  <c r="J21" i="12"/>
  <c r="I21" i="12" s="1"/>
  <c r="Q9" i="12"/>
  <c r="H29" i="12"/>
  <c r="H17" i="12"/>
  <c r="H36" i="12"/>
  <c r="H32" i="12"/>
  <c r="H28" i="12"/>
  <c r="H24" i="12"/>
  <c r="H20" i="12"/>
  <c r="H16" i="12"/>
  <c r="H12" i="12"/>
  <c r="M9" i="11"/>
  <c r="I29" i="12"/>
  <c r="I17" i="12"/>
  <c r="I13" i="12"/>
  <c r="E35" i="12"/>
  <c r="E31" i="12"/>
  <c r="E27" i="12"/>
  <c r="J27" i="12" s="1"/>
  <c r="I27" i="12" s="1"/>
  <c r="E23" i="12"/>
  <c r="J23" i="12" s="1"/>
  <c r="I23" i="12" s="1"/>
  <c r="E19" i="12"/>
  <c r="J19" i="12" s="1"/>
  <c r="I19" i="12" s="1"/>
  <c r="E15" i="12"/>
  <c r="E11" i="12"/>
  <c r="H11" i="12" s="1"/>
  <c r="J31" i="12"/>
  <c r="J15" i="12"/>
  <c r="I15" i="12" s="1"/>
  <c r="H27" i="12"/>
  <c r="H15" i="12"/>
  <c r="I31" i="12"/>
  <c r="J33" i="12"/>
  <c r="I33" i="12" s="1"/>
  <c r="J25" i="12"/>
  <c r="I25" i="12" s="1"/>
  <c r="J13" i="12"/>
  <c r="J8" i="12"/>
  <c r="I8" i="12" s="1"/>
  <c r="H8" i="12"/>
  <c r="M10" i="11"/>
  <c r="I32" i="12"/>
  <c r="I28" i="12"/>
  <c r="I16" i="12"/>
  <c r="I12" i="12"/>
  <c r="E34" i="12"/>
  <c r="J34" i="12" s="1"/>
  <c r="I34" i="12" s="1"/>
  <c r="E30" i="12"/>
  <c r="J30" i="12" s="1"/>
  <c r="I30" i="12" s="1"/>
  <c r="E26" i="12"/>
  <c r="J26" i="12" s="1"/>
  <c r="E22" i="12"/>
  <c r="E18" i="12"/>
  <c r="H18" i="12" s="1"/>
  <c r="E14" i="12"/>
  <c r="H14" i="12" s="1"/>
  <c r="E10" i="12"/>
  <c r="J22" i="12"/>
  <c r="I22" i="12" s="1"/>
  <c r="H22" i="12"/>
  <c r="J9" i="12"/>
  <c r="I37" i="12"/>
  <c r="I36" i="12"/>
  <c r="I24" i="12"/>
  <c r="I20" i="12"/>
  <c r="I26" i="12"/>
  <c r="I9" i="12"/>
  <c r="F32" i="11"/>
  <c r="E32" i="11" s="1"/>
  <c r="F16" i="11"/>
  <c r="D101" i="11"/>
  <c r="D85" i="11"/>
  <c r="D69" i="11"/>
  <c r="D53" i="11"/>
  <c r="D37" i="11"/>
  <c r="F104" i="11"/>
  <c r="E104" i="11" s="1"/>
  <c r="F88" i="11"/>
  <c r="E88" i="11" s="1"/>
  <c r="F72" i="11"/>
  <c r="E72" i="11" s="1"/>
  <c r="F56" i="11"/>
  <c r="E56" i="11" s="1"/>
  <c r="F40" i="11"/>
  <c r="E40" i="11" s="1"/>
  <c r="F24" i="11"/>
  <c r="E24" i="11" s="1"/>
  <c r="D113" i="11"/>
  <c r="D97" i="11"/>
  <c r="D81" i="11"/>
  <c r="D65" i="11"/>
  <c r="D49" i="11"/>
  <c r="F100" i="11"/>
  <c r="E100" i="11" s="1"/>
  <c r="F84" i="11"/>
  <c r="E84" i="11" s="1"/>
  <c r="F68" i="11"/>
  <c r="E68" i="11" s="1"/>
  <c r="F52" i="11"/>
  <c r="E52" i="11" s="1"/>
  <c r="F36" i="11"/>
  <c r="E36" i="11" s="1"/>
  <c r="F20" i="11"/>
  <c r="E20" i="11" s="1"/>
  <c r="D105" i="11"/>
  <c r="D89" i="11"/>
  <c r="D73" i="11"/>
  <c r="D57" i="11"/>
  <c r="D41" i="11"/>
  <c r="F108" i="11"/>
  <c r="E108" i="11" s="1"/>
  <c r="F92" i="11"/>
  <c r="E92" i="11" s="1"/>
  <c r="F76" i="11"/>
  <c r="E76" i="11" s="1"/>
  <c r="F60" i="11"/>
  <c r="E60" i="11" s="1"/>
  <c r="F44" i="11"/>
  <c r="E44" i="11" s="1"/>
  <c r="F28" i="11"/>
  <c r="E28" i="11" s="1"/>
  <c r="F12" i="11"/>
  <c r="E12" i="11" s="1"/>
  <c r="D8" i="11"/>
  <c r="J9" i="11" s="1"/>
  <c r="F115" i="11"/>
  <c r="E115" i="11" s="1"/>
  <c r="F111" i="11"/>
  <c r="E111" i="11" s="1"/>
  <c r="F107" i="11"/>
  <c r="E107" i="11" s="1"/>
  <c r="F103" i="11"/>
  <c r="E103" i="11" s="1"/>
  <c r="F99" i="11"/>
  <c r="E99" i="11" s="1"/>
  <c r="F95" i="11"/>
  <c r="E95" i="11" s="1"/>
  <c r="F91" i="11"/>
  <c r="E91" i="11" s="1"/>
  <c r="F87" i="11"/>
  <c r="E87" i="11" s="1"/>
  <c r="F83" i="11"/>
  <c r="E83" i="11" s="1"/>
  <c r="F79" i="11"/>
  <c r="E79" i="11" s="1"/>
  <c r="F75" i="11"/>
  <c r="E75" i="11" s="1"/>
  <c r="F71" i="11"/>
  <c r="E71" i="11" s="1"/>
  <c r="F67" i="11"/>
  <c r="E67" i="11" s="1"/>
  <c r="F63" i="11"/>
  <c r="E63" i="11" s="1"/>
  <c r="F59" i="11"/>
  <c r="E59" i="11" s="1"/>
  <c r="F55" i="11"/>
  <c r="E55" i="11" s="1"/>
  <c r="F51" i="11"/>
  <c r="E51" i="11" s="1"/>
  <c r="F47" i="11"/>
  <c r="E47" i="11" s="1"/>
  <c r="F43" i="11"/>
  <c r="E43" i="11" s="1"/>
  <c r="F39" i="11"/>
  <c r="E39" i="11" s="1"/>
  <c r="F35" i="11"/>
  <c r="E35" i="11" s="1"/>
  <c r="F31" i="11"/>
  <c r="E31" i="11" s="1"/>
  <c r="F27" i="11"/>
  <c r="E27" i="11" s="1"/>
  <c r="F23" i="11"/>
  <c r="F19" i="11"/>
  <c r="E19" i="11" s="1"/>
  <c r="F15" i="11"/>
  <c r="E15" i="11" s="1"/>
  <c r="F11" i="11"/>
  <c r="E11" i="11" s="1"/>
  <c r="F114" i="11"/>
  <c r="E114" i="11" s="1"/>
  <c r="F110" i="11"/>
  <c r="E110" i="11" s="1"/>
  <c r="F106" i="11"/>
  <c r="E106" i="11" s="1"/>
  <c r="F102" i="11"/>
  <c r="E102" i="11" s="1"/>
  <c r="F98" i="11"/>
  <c r="E98" i="11" s="1"/>
  <c r="F94" i="11"/>
  <c r="E94" i="11" s="1"/>
  <c r="F90" i="11"/>
  <c r="E90" i="11" s="1"/>
  <c r="F86" i="11"/>
  <c r="E86" i="11" s="1"/>
  <c r="F82" i="11"/>
  <c r="E82" i="11" s="1"/>
  <c r="F78" i="11"/>
  <c r="E78" i="11" s="1"/>
  <c r="F74" i="11"/>
  <c r="E74" i="11" s="1"/>
  <c r="F70" i="11"/>
  <c r="E70" i="11" s="1"/>
  <c r="F66" i="11"/>
  <c r="E66" i="11" s="1"/>
  <c r="F62" i="11"/>
  <c r="E62" i="11" s="1"/>
  <c r="F58" i="11"/>
  <c r="E58" i="11" s="1"/>
  <c r="F54" i="11"/>
  <c r="E54" i="11" s="1"/>
  <c r="F50" i="11"/>
  <c r="E50" i="11" s="1"/>
  <c r="F46" i="11"/>
  <c r="E46" i="11" s="1"/>
  <c r="F42" i="11"/>
  <c r="E42" i="11" s="1"/>
  <c r="F38" i="11"/>
  <c r="E38" i="11" s="1"/>
  <c r="F34" i="11"/>
  <c r="E34" i="11" s="1"/>
  <c r="F30" i="11"/>
  <c r="F26" i="11"/>
  <c r="F22" i="11"/>
  <c r="E22" i="11" s="1"/>
  <c r="F18" i="11"/>
  <c r="F14" i="11"/>
  <c r="E14" i="11" s="1"/>
  <c r="F10" i="11"/>
  <c r="E10" i="11" s="1"/>
  <c r="F29" i="11"/>
  <c r="E29" i="11" s="1"/>
  <c r="F25" i="11"/>
  <c r="E25" i="11" s="1"/>
  <c r="F21" i="11"/>
  <c r="E21" i="11" s="1"/>
  <c r="F17" i="11"/>
  <c r="E17" i="11" s="1"/>
  <c r="F13" i="11"/>
  <c r="E13" i="11" s="1"/>
  <c r="F9" i="11"/>
  <c r="E9" i="11" s="1"/>
  <c r="E16" i="11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8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F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8" i="9"/>
  <c r="D15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8" i="9"/>
  <c r="F9" i="9"/>
  <c r="W8" i="9" s="1"/>
  <c r="F10" i="9"/>
  <c r="D10" i="9" s="1"/>
  <c r="F11" i="9"/>
  <c r="D11" i="9" s="1"/>
  <c r="F12" i="9"/>
  <c r="D12" i="9" s="1"/>
  <c r="F13" i="9"/>
  <c r="D13" i="9" s="1"/>
  <c r="F14" i="9"/>
  <c r="D14" i="9" s="1"/>
  <c r="F15" i="9"/>
  <c r="F16" i="9"/>
  <c r="F17" i="9"/>
  <c r="D17" i="9" s="1"/>
  <c r="F18" i="9"/>
  <c r="D18" i="9" s="1"/>
  <c r="F19" i="9"/>
  <c r="D19" i="9" s="1"/>
  <c r="F20" i="9"/>
  <c r="D20" i="9" s="1"/>
  <c r="F21" i="9"/>
  <c r="D21" i="9" s="1"/>
  <c r="F22" i="9"/>
  <c r="D22" i="9" s="1"/>
  <c r="F23" i="9"/>
  <c r="D23" i="9" s="1"/>
  <c r="F24" i="9"/>
  <c r="D24" i="9" s="1"/>
  <c r="F25" i="9"/>
  <c r="D25" i="9" s="1"/>
  <c r="F26" i="9"/>
  <c r="D26" i="9" s="1"/>
  <c r="F27" i="9"/>
  <c r="D27" i="9" s="1"/>
  <c r="F28" i="9"/>
  <c r="F29" i="9"/>
  <c r="D29" i="9" s="1"/>
  <c r="I29" i="9" s="1"/>
  <c r="H29" i="9" s="1"/>
  <c r="F30" i="9"/>
  <c r="D30" i="9" s="1"/>
  <c r="F31" i="9"/>
  <c r="D31" i="9" s="1"/>
  <c r="I31" i="9" s="1"/>
  <c r="H31" i="9" s="1"/>
  <c r="F32" i="9"/>
  <c r="D32" i="9" s="1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G8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P115" i="9"/>
  <c r="O115" i="9" s="1"/>
  <c r="N115" i="9"/>
  <c r="I115" i="9"/>
  <c r="H115" i="9" s="1"/>
  <c r="G115" i="9"/>
  <c r="P114" i="9"/>
  <c r="O114" i="9" s="1"/>
  <c r="N114" i="9"/>
  <c r="I114" i="9"/>
  <c r="H114" i="9" s="1"/>
  <c r="G114" i="9"/>
  <c r="P113" i="9"/>
  <c r="O113" i="9" s="1"/>
  <c r="N113" i="9"/>
  <c r="I113" i="9"/>
  <c r="H113" i="9" s="1"/>
  <c r="G113" i="9"/>
  <c r="P112" i="9"/>
  <c r="O112" i="9" s="1"/>
  <c r="N112" i="9"/>
  <c r="I112" i="9"/>
  <c r="H112" i="9" s="1"/>
  <c r="G112" i="9"/>
  <c r="P111" i="9"/>
  <c r="O111" i="9" s="1"/>
  <c r="N111" i="9"/>
  <c r="I111" i="9"/>
  <c r="H111" i="9" s="1"/>
  <c r="G111" i="9"/>
  <c r="P110" i="9"/>
  <c r="O110" i="9" s="1"/>
  <c r="N110" i="9"/>
  <c r="I110" i="9"/>
  <c r="H110" i="9" s="1"/>
  <c r="G110" i="9"/>
  <c r="P109" i="9"/>
  <c r="O109" i="9" s="1"/>
  <c r="N109" i="9"/>
  <c r="I109" i="9"/>
  <c r="H109" i="9" s="1"/>
  <c r="G109" i="9"/>
  <c r="P108" i="9"/>
  <c r="O108" i="9" s="1"/>
  <c r="N108" i="9"/>
  <c r="I108" i="9"/>
  <c r="H108" i="9" s="1"/>
  <c r="G108" i="9"/>
  <c r="P107" i="9"/>
  <c r="O107" i="9" s="1"/>
  <c r="N107" i="9"/>
  <c r="I107" i="9"/>
  <c r="H107" i="9" s="1"/>
  <c r="G107" i="9"/>
  <c r="P106" i="9"/>
  <c r="O106" i="9" s="1"/>
  <c r="N106" i="9"/>
  <c r="I106" i="9"/>
  <c r="H106" i="9" s="1"/>
  <c r="G106" i="9"/>
  <c r="P105" i="9"/>
  <c r="O105" i="9" s="1"/>
  <c r="N105" i="9"/>
  <c r="I105" i="9"/>
  <c r="H105" i="9" s="1"/>
  <c r="G105" i="9"/>
  <c r="P104" i="9"/>
  <c r="O104" i="9" s="1"/>
  <c r="N104" i="9"/>
  <c r="I104" i="9"/>
  <c r="H104" i="9" s="1"/>
  <c r="G104" i="9"/>
  <c r="P103" i="9"/>
  <c r="O103" i="9" s="1"/>
  <c r="N103" i="9"/>
  <c r="I103" i="9"/>
  <c r="H103" i="9" s="1"/>
  <c r="G103" i="9"/>
  <c r="P102" i="9"/>
  <c r="O102" i="9" s="1"/>
  <c r="N102" i="9"/>
  <c r="I102" i="9"/>
  <c r="H102" i="9" s="1"/>
  <c r="G102" i="9"/>
  <c r="P101" i="9"/>
  <c r="O101" i="9" s="1"/>
  <c r="N101" i="9"/>
  <c r="I101" i="9"/>
  <c r="H101" i="9" s="1"/>
  <c r="G101" i="9"/>
  <c r="P100" i="9"/>
  <c r="O100" i="9" s="1"/>
  <c r="N100" i="9"/>
  <c r="I100" i="9"/>
  <c r="H100" i="9" s="1"/>
  <c r="G100" i="9"/>
  <c r="P99" i="9"/>
  <c r="O99" i="9" s="1"/>
  <c r="N99" i="9"/>
  <c r="I99" i="9"/>
  <c r="H99" i="9" s="1"/>
  <c r="G99" i="9"/>
  <c r="P98" i="9"/>
  <c r="O98" i="9" s="1"/>
  <c r="N98" i="9"/>
  <c r="I98" i="9"/>
  <c r="H98" i="9" s="1"/>
  <c r="G98" i="9"/>
  <c r="P97" i="9"/>
  <c r="O97" i="9" s="1"/>
  <c r="N97" i="9"/>
  <c r="I97" i="9"/>
  <c r="H97" i="9" s="1"/>
  <c r="G97" i="9"/>
  <c r="P96" i="9"/>
  <c r="O96" i="9" s="1"/>
  <c r="N96" i="9"/>
  <c r="I96" i="9"/>
  <c r="H96" i="9" s="1"/>
  <c r="G96" i="9"/>
  <c r="P95" i="9"/>
  <c r="O95" i="9" s="1"/>
  <c r="N95" i="9"/>
  <c r="I95" i="9"/>
  <c r="H95" i="9" s="1"/>
  <c r="G95" i="9"/>
  <c r="P94" i="9"/>
  <c r="O94" i="9" s="1"/>
  <c r="N94" i="9"/>
  <c r="I94" i="9"/>
  <c r="H94" i="9" s="1"/>
  <c r="G94" i="9"/>
  <c r="P93" i="9"/>
  <c r="O93" i="9" s="1"/>
  <c r="N93" i="9"/>
  <c r="I93" i="9"/>
  <c r="H93" i="9" s="1"/>
  <c r="G93" i="9"/>
  <c r="P92" i="9"/>
  <c r="O92" i="9" s="1"/>
  <c r="N92" i="9"/>
  <c r="I92" i="9"/>
  <c r="H92" i="9" s="1"/>
  <c r="G92" i="9"/>
  <c r="P91" i="9"/>
  <c r="O91" i="9" s="1"/>
  <c r="N91" i="9"/>
  <c r="I91" i="9"/>
  <c r="H91" i="9" s="1"/>
  <c r="G91" i="9"/>
  <c r="P90" i="9"/>
  <c r="O90" i="9" s="1"/>
  <c r="N90" i="9"/>
  <c r="I90" i="9"/>
  <c r="H90" i="9" s="1"/>
  <c r="G90" i="9"/>
  <c r="P89" i="9"/>
  <c r="O89" i="9" s="1"/>
  <c r="N89" i="9"/>
  <c r="I89" i="9"/>
  <c r="H89" i="9" s="1"/>
  <c r="G89" i="9"/>
  <c r="P88" i="9"/>
  <c r="O88" i="9" s="1"/>
  <c r="N88" i="9"/>
  <c r="I88" i="9"/>
  <c r="H88" i="9" s="1"/>
  <c r="G88" i="9"/>
  <c r="P87" i="9"/>
  <c r="O87" i="9" s="1"/>
  <c r="N87" i="9"/>
  <c r="I87" i="9"/>
  <c r="H87" i="9" s="1"/>
  <c r="G87" i="9"/>
  <c r="P86" i="9"/>
  <c r="O86" i="9" s="1"/>
  <c r="N86" i="9"/>
  <c r="I86" i="9"/>
  <c r="H86" i="9" s="1"/>
  <c r="G86" i="9"/>
  <c r="P85" i="9"/>
  <c r="O85" i="9" s="1"/>
  <c r="N85" i="9"/>
  <c r="I85" i="9"/>
  <c r="H85" i="9" s="1"/>
  <c r="G85" i="9"/>
  <c r="P84" i="9"/>
  <c r="O84" i="9" s="1"/>
  <c r="N84" i="9"/>
  <c r="I84" i="9"/>
  <c r="H84" i="9" s="1"/>
  <c r="G84" i="9"/>
  <c r="P83" i="9"/>
  <c r="O83" i="9" s="1"/>
  <c r="N83" i="9"/>
  <c r="I83" i="9"/>
  <c r="H83" i="9" s="1"/>
  <c r="G83" i="9"/>
  <c r="P82" i="9"/>
  <c r="O82" i="9" s="1"/>
  <c r="N82" i="9"/>
  <c r="I82" i="9"/>
  <c r="H82" i="9" s="1"/>
  <c r="G82" i="9"/>
  <c r="P81" i="9"/>
  <c r="O81" i="9" s="1"/>
  <c r="N81" i="9"/>
  <c r="I81" i="9"/>
  <c r="H81" i="9" s="1"/>
  <c r="G81" i="9"/>
  <c r="P80" i="9"/>
  <c r="O80" i="9" s="1"/>
  <c r="N80" i="9"/>
  <c r="I80" i="9"/>
  <c r="H80" i="9" s="1"/>
  <c r="G80" i="9"/>
  <c r="P79" i="9"/>
  <c r="O79" i="9" s="1"/>
  <c r="N79" i="9"/>
  <c r="I79" i="9"/>
  <c r="H79" i="9" s="1"/>
  <c r="G79" i="9"/>
  <c r="P78" i="9"/>
  <c r="O78" i="9" s="1"/>
  <c r="N78" i="9"/>
  <c r="I78" i="9"/>
  <c r="H78" i="9" s="1"/>
  <c r="G78" i="9"/>
  <c r="P77" i="9"/>
  <c r="O77" i="9" s="1"/>
  <c r="N77" i="9"/>
  <c r="I77" i="9"/>
  <c r="H77" i="9" s="1"/>
  <c r="G77" i="9"/>
  <c r="P76" i="9"/>
  <c r="O76" i="9" s="1"/>
  <c r="N76" i="9"/>
  <c r="I76" i="9"/>
  <c r="H76" i="9" s="1"/>
  <c r="G76" i="9"/>
  <c r="P75" i="9"/>
  <c r="O75" i="9" s="1"/>
  <c r="N75" i="9"/>
  <c r="I75" i="9"/>
  <c r="H75" i="9" s="1"/>
  <c r="G75" i="9"/>
  <c r="P74" i="9"/>
  <c r="O74" i="9" s="1"/>
  <c r="N74" i="9"/>
  <c r="I74" i="9"/>
  <c r="H74" i="9" s="1"/>
  <c r="G74" i="9"/>
  <c r="P73" i="9"/>
  <c r="O73" i="9" s="1"/>
  <c r="N73" i="9"/>
  <c r="I73" i="9"/>
  <c r="H73" i="9" s="1"/>
  <c r="G73" i="9"/>
  <c r="P72" i="9"/>
  <c r="O72" i="9"/>
  <c r="N72" i="9"/>
  <c r="I72" i="9"/>
  <c r="H72" i="9" s="1"/>
  <c r="G72" i="9"/>
  <c r="P71" i="9"/>
  <c r="O71" i="9" s="1"/>
  <c r="N71" i="9"/>
  <c r="I71" i="9"/>
  <c r="H71" i="9" s="1"/>
  <c r="G71" i="9"/>
  <c r="P70" i="9"/>
  <c r="O70" i="9" s="1"/>
  <c r="N70" i="9"/>
  <c r="I70" i="9"/>
  <c r="H70" i="9"/>
  <c r="G70" i="9"/>
  <c r="P69" i="9"/>
  <c r="O69" i="9" s="1"/>
  <c r="N69" i="9"/>
  <c r="I69" i="9"/>
  <c r="H69" i="9" s="1"/>
  <c r="G69" i="9"/>
  <c r="P68" i="9"/>
  <c r="O68" i="9" s="1"/>
  <c r="N68" i="9"/>
  <c r="I68" i="9"/>
  <c r="H68" i="9" s="1"/>
  <c r="G68" i="9"/>
  <c r="P67" i="9"/>
  <c r="O67" i="9"/>
  <c r="N67" i="9"/>
  <c r="I67" i="9"/>
  <c r="H67" i="9" s="1"/>
  <c r="G67" i="9"/>
  <c r="P66" i="9"/>
  <c r="O66" i="9" s="1"/>
  <c r="N66" i="9"/>
  <c r="I66" i="9"/>
  <c r="H66" i="9" s="1"/>
  <c r="G66" i="9"/>
  <c r="P65" i="9"/>
  <c r="O65" i="9" s="1"/>
  <c r="N65" i="9"/>
  <c r="I65" i="9"/>
  <c r="H65" i="9" s="1"/>
  <c r="G65" i="9"/>
  <c r="P64" i="9"/>
  <c r="O64" i="9" s="1"/>
  <c r="N64" i="9"/>
  <c r="I64" i="9"/>
  <c r="H64" i="9" s="1"/>
  <c r="G64" i="9"/>
  <c r="P63" i="9"/>
  <c r="O63" i="9" s="1"/>
  <c r="N63" i="9"/>
  <c r="I63" i="9"/>
  <c r="H63" i="9" s="1"/>
  <c r="G63" i="9"/>
  <c r="P62" i="9"/>
  <c r="O62" i="9" s="1"/>
  <c r="N62" i="9"/>
  <c r="I62" i="9"/>
  <c r="H62" i="9" s="1"/>
  <c r="G62" i="9"/>
  <c r="P61" i="9"/>
  <c r="O61" i="9"/>
  <c r="N61" i="9"/>
  <c r="I61" i="9"/>
  <c r="H61" i="9" s="1"/>
  <c r="G61" i="9"/>
  <c r="P60" i="9"/>
  <c r="O60" i="9" s="1"/>
  <c r="N60" i="9"/>
  <c r="I60" i="9"/>
  <c r="H60" i="9" s="1"/>
  <c r="G60" i="9"/>
  <c r="P59" i="9"/>
  <c r="O59" i="9"/>
  <c r="N59" i="9"/>
  <c r="I59" i="9"/>
  <c r="H59" i="9" s="1"/>
  <c r="G59" i="9"/>
  <c r="P58" i="9"/>
  <c r="O58" i="9" s="1"/>
  <c r="N58" i="9"/>
  <c r="I58" i="9"/>
  <c r="H58" i="9" s="1"/>
  <c r="G58" i="9"/>
  <c r="P57" i="9"/>
  <c r="O57" i="9" s="1"/>
  <c r="N57" i="9"/>
  <c r="I57" i="9"/>
  <c r="H57" i="9"/>
  <c r="G57" i="9"/>
  <c r="P56" i="9"/>
  <c r="O56" i="9"/>
  <c r="N56" i="9"/>
  <c r="I56" i="9"/>
  <c r="H56" i="9" s="1"/>
  <c r="G56" i="9"/>
  <c r="P55" i="9"/>
  <c r="O55" i="9"/>
  <c r="N55" i="9"/>
  <c r="I55" i="9"/>
  <c r="H55" i="9" s="1"/>
  <c r="G55" i="9"/>
  <c r="P54" i="9"/>
  <c r="O54" i="9" s="1"/>
  <c r="N54" i="9"/>
  <c r="I54" i="9"/>
  <c r="H54" i="9" s="1"/>
  <c r="G54" i="9"/>
  <c r="P53" i="9"/>
  <c r="O53" i="9" s="1"/>
  <c r="N53" i="9"/>
  <c r="I53" i="9"/>
  <c r="H53" i="9" s="1"/>
  <c r="G53" i="9"/>
  <c r="P52" i="9"/>
  <c r="O52" i="9" s="1"/>
  <c r="N52" i="9"/>
  <c r="I52" i="9"/>
  <c r="H52" i="9" s="1"/>
  <c r="G52" i="9"/>
  <c r="P51" i="9"/>
  <c r="O51" i="9"/>
  <c r="N51" i="9"/>
  <c r="I51" i="9"/>
  <c r="H51" i="9" s="1"/>
  <c r="G51" i="9"/>
  <c r="P50" i="9"/>
  <c r="O50" i="9" s="1"/>
  <c r="N50" i="9"/>
  <c r="I50" i="9"/>
  <c r="H50" i="9" s="1"/>
  <c r="G50" i="9"/>
  <c r="P49" i="9"/>
  <c r="O49" i="9" s="1"/>
  <c r="N49" i="9"/>
  <c r="I49" i="9"/>
  <c r="H49" i="9" s="1"/>
  <c r="G49" i="9"/>
  <c r="P48" i="9"/>
  <c r="O48" i="9"/>
  <c r="N48" i="9"/>
  <c r="I48" i="9"/>
  <c r="H48" i="9" s="1"/>
  <c r="G48" i="9"/>
  <c r="P47" i="9"/>
  <c r="O47" i="9" s="1"/>
  <c r="N47" i="9"/>
  <c r="I47" i="9"/>
  <c r="H47" i="9" s="1"/>
  <c r="G47" i="9"/>
  <c r="P46" i="9"/>
  <c r="O46" i="9" s="1"/>
  <c r="N46" i="9"/>
  <c r="I46" i="9"/>
  <c r="H46" i="9" s="1"/>
  <c r="G46" i="9"/>
  <c r="P45" i="9"/>
  <c r="O45" i="9" s="1"/>
  <c r="N45" i="9"/>
  <c r="I45" i="9"/>
  <c r="H45" i="9" s="1"/>
  <c r="G45" i="9"/>
  <c r="P44" i="9"/>
  <c r="O44" i="9" s="1"/>
  <c r="N44" i="9"/>
  <c r="I44" i="9"/>
  <c r="H44" i="9" s="1"/>
  <c r="G44" i="9"/>
  <c r="P43" i="9"/>
  <c r="O43" i="9" s="1"/>
  <c r="N43" i="9"/>
  <c r="I43" i="9"/>
  <c r="H43" i="9" s="1"/>
  <c r="G43" i="9"/>
  <c r="P42" i="9"/>
  <c r="O42" i="9" s="1"/>
  <c r="N42" i="9"/>
  <c r="I42" i="9"/>
  <c r="H42" i="9" s="1"/>
  <c r="G42" i="9"/>
  <c r="P41" i="9"/>
  <c r="O41" i="9" s="1"/>
  <c r="N41" i="9"/>
  <c r="I41" i="9"/>
  <c r="H41" i="9" s="1"/>
  <c r="G41" i="9"/>
  <c r="P40" i="9"/>
  <c r="O40" i="9" s="1"/>
  <c r="N40" i="9"/>
  <c r="I40" i="9"/>
  <c r="H40" i="9" s="1"/>
  <c r="G40" i="9"/>
  <c r="P39" i="9"/>
  <c r="O39" i="9" s="1"/>
  <c r="N39" i="9"/>
  <c r="I39" i="9"/>
  <c r="H39" i="9" s="1"/>
  <c r="G39" i="9"/>
  <c r="P38" i="9"/>
  <c r="O38" i="9" s="1"/>
  <c r="N38" i="9"/>
  <c r="I38" i="9"/>
  <c r="H38" i="9" s="1"/>
  <c r="G38" i="9"/>
  <c r="P37" i="9"/>
  <c r="O37" i="9" s="1"/>
  <c r="N37" i="9"/>
  <c r="I37" i="9"/>
  <c r="H37" i="9" s="1"/>
  <c r="G37" i="9"/>
  <c r="P36" i="9"/>
  <c r="O36" i="9" s="1"/>
  <c r="N36" i="9"/>
  <c r="I36" i="9"/>
  <c r="H36" i="9" s="1"/>
  <c r="G36" i="9"/>
  <c r="P35" i="9"/>
  <c r="O35" i="9" s="1"/>
  <c r="N35" i="9"/>
  <c r="I35" i="9"/>
  <c r="H35" i="9" s="1"/>
  <c r="G35" i="9"/>
  <c r="P34" i="9"/>
  <c r="O34" i="9" s="1"/>
  <c r="N34" i="9"/>
  <c r="I34" i="9"/>
  <c r="H34" i="9" s="1"/>
  <c r="G34" i="9"/>
  <c r="P33" i="9"/>
  <c r="O33" i="9" s="1"/>
  <c r="N33" i="9"/>
  <c r="I33" i="9"/>
  <c r="H33" i="9" s="1"/>
  <c r="G33" i="9"/>
  <c r="M2" i="9"/>
  <c r="G10" i="10"/>
  <c r="E10" i="10" s="1"/>
  <c r="H10" i="10" s="1"/>
  <c r="G11" i="10"/>
  <c r="G12" i="10"/>
  <c r="E12" i="10" s="1"/>
  <c r="H12" i="10" s="1"/>
  <c r="G13" i="10"/>
  <c r="E13" i="10" s="1"/>
  <c r="H13" i="10" s="1"/>
  <c r="G14" i="10"/>
  <c r="E14" i="10" s="1"/>
  <c r="H14" i="10" s="1"/>
  <c r="G15" i="10"/>
  <c r="G16" i="10"/>
  <c r="G17" i="10"/>
  <c r="E17" i="10" s="1"/>
  <c r="H17" i="10" s="1"/>
  <c r="G18" i="10"/>
  <c r="E18" i="10" s="1"/>
  <c r="H18" i="10" s="1"/>
  <c r="G19" i="10"/>
  <c r="G20" i="10"/>
  <c r="G21" i="10"/>
  <c r="E21" i="10" s="1"/>
  <c r="H21" i="10" s="1"/>
  <c r="G22" i="10"/>
  <c r="E22" i="10" s="1"/>
  <c r="H22" i="10" s="1"/>
  <c r="G23" i="10"/>
  <c r="G24" i="10"/>
  <c r="G25" i="10"/>
  <c r="E25" i="10" s="1"/>
  <c r="G26" i="10"/>
  <c r="E26" i="10" s="1"/>
  <c r="H26" i="10" s="1"/>
  <c r="G27" i="10"/>
  <c r="E27" i="10" s="1"/>
  <c r="J27" i="10" s="1"/>
  <c r="I27" i="10" s="1"/>
  <c r="G28" i="10"/>
  <c r="G29" i="10"/>
  <c r="E29" i="10" s="1"/>
  <c r="G30" i="10"/>
  <c r="E30" i="10" s="1"/>
  <c r="H30" i="10" s="1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9" i="10"/>
  <c r="D29" i="10"/>
  <c r="F29" i="10" s="1"/>
  <c r="M29" i="10" s="1"/>
  <c r="E11" i="10"/>
  <c r="H11" i="10" s="1"/>
  <c r="E33" i="10"/>
  <c r="F9" i="10"/>
  <c r="M9" i="10" s="1"/>
  <c r="Q116" i="10"/>
  <c r="P116" i="10" s="1"/>
  <c r="O116" i="10"/>
  <c r="N116" i="10"/>
  <c r="L116" i="10"/>
  <c r="J116" i="10"/>
  <c r="I116" i="10" s="1"/>
  <c r="H116" i="10"/>
  <c r="F116" i="10"/>
  <c r="M116" i="10" s="1"/>
  <c r="E116" i="10"/>
  <c r="D116" i="10"/>
  <c r="Q115" i="10"/>
  <c r="P115" i="10" s="1"/>
  <c r="O115" i="10"/>
  <c r="N115" i="10"/>
  <c r="L115" i="10"/>
  <c r="J115" i="10"/>
  <c r="I115" i="10" s="1"/>
  <c r="H115" i="10"/>
  <c r="F115" i="10"/>
  <c r="M115" i="10" s="1"/>
  <c r="E115" i="10"/>
  <c r="D115" i="10"/>
  <c r="Q114" i="10"/>
  <c r="P114" i="10" s="1"/>
  <c r="O114" i="10"/>
  <c r="N114" i="10"/>
  <c r="L114" i="10"/>
  <c r="J114" i="10"/>
  <c r="I114" i="10" s="1"/>
  <c r="H114" i="10"/>
  <c r="E114" i="10"/>
  <c r="D114" i="10"/>
  <c r="F114" i="10" s="1"/>
  <c r="M114" i="10" s="1"/>
  <c r="Q113" i="10"/>
  <c r="P113" i="10" s="1"/>
  <c r="O113" i="10"/>
  <c r="N113" i="10"/>
  <c r="L113" i="10"/>
  <c r="J113" i="10"/>
  <c r="I113" i="10" s="1"/>
  <c r="H113" i="10"/>
  <c r="E113" i="10"/>
  <c r="D113" i="10"/>
  <c r="F113" i="10" s="1"/>
  <c r="M113" i="10" s="1"/>
  <c r="Q112" i="10"/>
  <c r="P112" i="10" s="1"/>
  <c r="O112" i="10"/>
  <c r="N112" i="10"/>
  <c r="L112" i="10"/>
  <c r="J112" i="10"/>
  <c r="I112" i="10" s="1"/>
  <c r="H112" i="10"/>
  <c r="E112" i="10"/>
  <c r="D112" i="10"/>
  <c r="F112" i="10" s="1"/>
  <c r="M112" i="10" s="1"/>
  <c r="Q111" i="10"/>
  <c r="P111" i="10" s="1"/>
  <c r="O111" i="10"/>
  <c r="N111" i="10"/>
  <c r="L111" i="10"/>
  <c r="J111" i="10"/>
  <c r="I111" i="10" s="1"/>
  <c r="H111" i="10"/>
  <c r="E111" i="10"/>
  <c r="D111" i="10"/>
  <c r="F111" i="10" s="1"/>
  <c r="M111" i="10" s="1"/>
  <c r="Q110" i="10"/>
  <c r="P110" i="10" s="1"/>
  <c r="O110" i="10"/>
  <c r="N110" i="10"/>
  <c r="L110" i="10"/>
  <c r="J110" i="10"/>
  <c r="I110" i="10" s="1"/>
  <c r="H110" i="10"/>
  <c r="E110" i="10"/>
  <c r="D110" i="10"/>
  <c r="F110" i="10" s="1"/>
  <c r="M110" i="10" s="1"/>
  <c r="Q109" i="10"/>
  <c r="P109" i="10" s="1"/>
  <c r="O109" i="10"/>
  <c r="N109" i="10"/>
  <c r="L109" i="10"/>
  <c r="J109" i="10"/>
  <c r="I109" i="10" s="1"/>
  <c r="H109" i="10"/>
  <c r="E109" i="10"/>
  <c r="D109" i="10"/>
  <c r="F109" i="10" s="1"/>
  <c r="M109" i="10" s="1"/>
  <c r="Q108" i="10"/>
  <c r="P108" i="10" s="1"/>
  <c r="O108" i="10"/>
  <c r="N108" i="10"/>
  <c r="L108" i="10"/>
  <c r="J108" i="10"/>
  <c r="I108" i="10" s="1"/>
  <c r="H108" i="10"/>
  <c r="F108" i="10"/>
  <c r="M108" i="10" s="1"/>
  <c r="E108" i="10"/>
  <c r="D108" i="10"/>
  <c r="Q107" i="10"/>
  <c r="P107" i="10" s="1"/>
  <c r="O107" i="10"/>
  <c r="N107" i="10"/>
  <c r="L107" i="10"/>
  <c r="J107" i="10"/>
  <c r="I107" i="10" s="1"/>
  <c r="H107" i="10"/>
  <c r="F107" i="10"/>
  <c r="M107" i="10" s="1"/>
  <c r="E107" i="10"/>
  <c r="D107" i="10"/>
  <c r="Q106" i="10"/>
  <c r="P106" i="10" s="1"/>
  <c r="O106" i="10"/>
  <c r="N106" i="10"/>
  <c r="L106" i="10"/>
  <c r="J106" i="10"/>
  <c r="I106" i="10" s="1"/>
  <c r="H106" i="10"/>
  <c r="E106" i="10"/>
  <c r="D106" i="10"/>
  <c r="F106" i="10" s="1"/>
  <c r="M106" i="10" s="1"/>
  <c r="Q105" i="10"/>
  <c r="P105" i="10" s="1"/>
  <c r="O105" i="10"/>
  <c r="N105" i="10"/>
  <c r="L105" i="10"/>
  <c r="J105" i="10"/>
  <c r="I105" i="10" s="1"/>
  <c r="H105" i="10"/>
  <c r="E105" i="10"/>
  <c r="D105" i="10"/>
  <c r="F105" i="10" s="1"/>
  <c r="M105" i="10" s="1"/>
  <c r="Q104" i="10"/>
  <c r="P104" i="10" s="1"/>
  <c r="O104" i="10"/>
  <c r="N104" i="10"/>
  <c r="L104" i="10"/>
  <c r="J104" i="10"/>
  <c r="I104" i="10" s="1"/>
  <c r="H104" i="10"/>
  <c r="E104" i="10"/>
  <c r="D104" i="10"/>
  <c r="F104" i="10" s="1"/>
  <c r="M104" i="10" s="1"/>
  <c r="Q103" i="10"/>
  <c r="P103" i="10" s="1"/>
  <c r="O103" i="10"/>
  <c r="N103" i="10"/>
  <c r="L103" i="10"/>
  <c r="J103" i="10"/>
  <c r="I103" i="10" s="1"/>
  <c r="H103" i="10"/>
  <c r="E103" i="10"/>
  <c r="D103" i="10"/>
  <c r="F103" i="10" s="1"/>
  <c r="M103" i="10" s="1"/>
  <c r="Q102" i="10"/>
  <c r="P102" i="10" s="1"/>
  <c r="O102" i="10"/>
  <c r="N102" i="10"/>
  <c r="L102" i="10"/>
  <c r="J102" i="10"/>
  <c r="I102" i="10" s="1"/>
  <c r="H102" i="10"/>
  <c r="E102" i="10"/>
  <c r="D102" i="10"/>
  <c r="F102" i="10" s="1"/>
  <c r="M102" i="10" s="1"/>
  <c r="Q101" i="10"/>
  <c r="P101" i="10" s="1"/>
  <c r="O101" i="10"/>
  <c r="N101" i="10"/>
  <c r="M101" i="10"/>
  <c r="L101" i="10"/>
  <c r="J101" i="10"/>
  <c r="I101" i="10" s="1"/>
  <c r="H101" i="10"/>
  <c r="E101" i="10"/>
  <c r="D101" i="10"/>
  <c r="F101" i="10" s="1"/>
  <c r="Q100" i="10"/>
  <c r="P100" i="10" s="1"/>
  <c r="O100" i="10"/>
  <c r="N100" i="10"/>
  <c r="L100" i="10"/>
  <c r="J100" i="10"/>
  <c r="I100" i="10" s="1"/>
  <c r="H100" i="10"/>
  <c r="F100" i="10"/>
  <c r="M100" i="10" s="1"/>
  <c r="E100" i="10"/>
  <c r="D100" i="10"/>
  <c r="Q99" i="10"/>
  <c r="P99" i="10" s="1"/>
  <c r="O99" i="10"/>
  <c r="N99" i="10"/>
  <c r="L99" i="10"/>
  <c r="J99" i="10"/>
  <c r="I99" i="10" s="1"/>
  <c r="H99" i="10"/>
  <c r="E99" i="10"/>
  <c r="D99" i="10"/>
  <c r="F99" i="10" s="1"/>
  <c r="M99" i="10" s="1"/>
  <c r="Q98" i="10"/>
  <c r="P98" i="10" s="1"/>
  <c r="O98" i="10"/>
  <c r="N98" i="10"/>
  <c r="L98" i="10"/>
  <c r="J98" i="10"/>
  <c r="I98" i="10" s="1"/>
  <c r="H98" i="10"/>
  <c r="E98" i="10"/>
  <c r="D98" i="10"/>
  <c r="F98" i="10" s="1"/>
  <c r="M98" i="10" s="1"/>
  <c r="Q97" i="10"/>
  <c r="P97" i="10" s="1"/>
  <c r="O97" i="10"/>
  <c r="N97" i="10"/>
  <c r="L97" i="10"/>
  <c r="J97" i="10"/>
  <c r="I97" i="10" s="1"/>
  <c r="H97" i="10"/>
  <c r="E97" i="10"/>
  <c r="D97" i="10"/>
  <c r="F97" i="10" s="1"/>
  <c r="M97" i="10" s="1"/>
  <c r="Q96" i="10"/>
  <c r="P96" i="10" s="1"/>
  <c r="O96" i="10"/>
  <c r="N96" i="10"/>
  <c r="L96" i="10"/>
  <c r="J96" i="10"/>
  <c r="I96" i="10" s="1"/>
  <c r="H96" i="10"/>
  <c r="F96" i="10"/>
  <c r="M96" i="10" s="1"/>
  <c r="E96" i="10"/>
  <c r="D96" i="10"/>
  <c r="Q95" i="10"/>
  <c r="P95" i="10" s="1"/>
  <c r="O95" i="10"/>
  <c r="N95" i="10"/>
  <c r="L95" i="10"/>
  <c r="J95" i="10"/>
  <c r="I95" i="10" s="1"/>
  <c r="H95" i="10"/>
  <c r="F95" i="10"/>
  <c r="M95" i="10" s="1"/>
  <c r="E95" i="10"/>
  <c r="D95" i="10"/>
  <c r="Q94" i="10"/>
  <c r="P94" i="10" s="1"/>
  <c r="O94" i="10"/>
  <c r="N94" i="10"/>
  <c r="L94" i="10"/>
  <c r="J94" i="10"/>
  <c r="I94" i="10" s="1"/>
  <c r="H94" i="10"/>
  <c r="E94" i="10"/>
  <c r="D94" i="10"/>
  <c r="F94" i="10" s="1"/>
  <c r="M94" i="10" s="1"/>
  <c r="Q93" i="10"/>
  <c r="P93" i="10" s="1"/>
  <c r="O93" i="10"/>
  <c r="N93" i="10"/>
  <c r="L93" i="10"/>
  <c r="J93" i="10"/>
  <c r="I93" i="10" s="1"/>
  <c r="H93" i="10"/>
  <c r="E93" i="10"/>
  <c r="D93" i="10"/>
  <c r="F93" i="10" s="1"/>
  <c r="M93" i="10" s="1"/>
  <c r="Q92" i="10"/>
  <c r="P92" i="10" s="1"/>
  <c r="O92" i="10"/>
  <c r="N92" i="10"/>
  <c r="L92" i="10"/>
  <c r="J92" i="10"/>
  <c r="I92" i="10" s="1"/>
  <c r="H92" i="10"/>
  <c r="E92" i="10"/>
  <c r="D92" i="10"/>
  <c r="F92" i="10" s="1"/>
  <c r="M92" i="10" s="1"/>
  <c r="Q91" i="10"/>
  <c r="P91" i="10" s="1"/>
  <c r="O91" i="10"/>
  <c r="N91" i="10"/>
  <c r="L91" i="10"/>
  <c r="J91" i="10"/>
  <c r="I91" i="10" s="1"/>
  <c r="H91" i="10"/>
  <c r="E91" i="10"/>
  <c r="D91" i="10"/>
  <c r="F91" i="10" s="1"/>
  <c r="M91" i="10" s="1"/>
  <c r="Q90" i="10"/>
  <c r="P90" i="10" s="1"/>
  <c r="O90" i="10"/>
  <c r="N90" i="10"/>
  <c r="L90" i="10"/>
  <c r="J90" i="10"/>
  <c r="I90" i="10" s="1"/>
  <c r="H90" i="10"/>
  <c r="E90" i="10"/>
  <c r="D90" i="10"/>
  <c r="F90" i="10" s="1"/>
  <c r="M90" i="10" s="1"/>
  <c r="Q89" i="10"/>
  <c r="P89" i="10" s="1"/>
  <c r="O89" i="10"/>
  <c r="N89" i="10"/>
  <c r="L89" i="10"/>
  <c r="J89" i="10"/>
  <c r="I89" i="10" s="1"/>
  <c r="H89" i="10"/>
  <c r="E89" i="10"/>
  <c r="D89" i="10"/>
  <c r="F89" i="10" s="1"/>
  <c r="M89" i="10" s="1"/>
  <c r="Q88" i="10"/>
  <c r="P88" i="10" s="1"/>
  <c r="O88" i="10"/>
  <c r="N88" i="10"/>
  <c r="L88" i="10"/>
  <c r="J88" i="10"/>
  <c r="I88" i="10" s="1"/>
  <c r="H88" i="10"/>
  <c r="F88" i="10"/>
  <c r="M88" i="10" s="1"/>
  <c r="E88" i="10"/>
  <c r="D88" i="10"/>
  <c r="Q87" i="10"/>
  <c r="P87" i="10" s="1"/>
  <c r="O87" i="10"/>
  <c r="N87" i="10"/>
  <c r="L87" i="10"/>
  <c r="J87" i="10"/>
  <c r="I87" i="10" s="1"/>
  <c r="H87" i="10"/>
  <c r="F87" i="10"/>
  <c r="M87" i="10" s="1"/>
  <c r="E87" i="10"/>
  <c r="D87" i="10"/>
  <c r="Q86" i="10"/>
  <c r="P86" i="10" s="1"/>
  <c r="O86" i="10"/>
  <c r="N86" i="10"/>
  <c r="L86" i="10"/>
  <c r="J86" i="10"/>
  <c r="I86" i="10" s="1"/>
  <c r="H86" i="10"/>
  <c r="E86" i="10"/>
  <c r="D86" i="10"/>
  <c r="F86" i="10" s="1"/>
  <c r="M86" i="10" s="1"/>
  <c r="Q85" i="10"/>
  <c r="P85" i="10" s="1"/>
  <c r="O85" i="10"/>
  <c r="N85" i="10"/>
  <c r="L85" i="10"/>
  <c r="J85" i="10"/>
  <c r="I85" i="10" s="1"/>
  <c r="H85" i="10"/>
  <c r="E85" i="10"/>
  <c r="D85" i="10"/>
  <c r="F85" i="10" s="1"/>
  <c r="M85" i="10" s="1"/>
  <c r="Q84" i="10"/>
  <c r="P84" i="10" s="1"/>
  <c r="O84" i="10"/>
  <c r="N84" i="10"/>
  <c r="L84" i="10"/>
  <c r="J84" i="10"/>
  <c r="I84" i="10" s="1"/>
  <c r="H84" i="10"/>
  <c r="E84" i="10"/>
  <c r="D84" i="10"/>
  <c r="F84" i="10" s="1"/>
  <c r="M84" i="10" s="1"/>
  <c r="Q83" i="10"/>
  <c r="P83" i="10" s="1"/>
  <c r="O83" i="10"/>
  <c r="N83" i="10"/>
  <c r="L83" i="10"/>
  <c r="J83" i="10"/>
  <c r="I83" i="10" s="1"/>
  <c r="H83" i="10"/>
  <c r="F83" i="10"/>
  <c r="M83" i="10" s="1"/>
  <c r="E83" i="10"/>
  <c r="D83" i="10"/>
  <c r="Q82" i="10"/>
  <c r="P82" i="10" s="1"/>
  <c r="O82" i="10"/>
  <c r="N82" i="10"/>
  <c r="L82" i="10"/>
  <c r="J82" i="10"/>
  <c r="I82" i="10" s="1"/>
  <c r="H82" i="10"/>
  <c r="E82" i="10"/>
  <c r="D82" i="10"/>
  <c r="F82" i="10" s="1"/>
  <c r="M82" i="10" s="1"/>
  <c r="Q81" i="10"/>
  <c r="P81" i="10" s="1"/>
  <c r="O81" i="10"/>
  <c r="N81" i="10"/>
  <c r="L81" i="10"/>
  <c r="J81" i="10"/>
  <c r="I81" i="10" s="1"/>
  <c r="H81" i="10"/>
  <c r="E81" i="10"/>
  <c r="D81" i="10"/>
  <c r="F81" i="10" s="1"/>
  <c r="M81" i="10" s="1"/>
  <c r="Q80" i="10"/>
  <c r="P80" i="10" s="1"/>
  <c r="O80" i="10"/>
  <c r="N80" i="10"/>
  <c r="L80" i="10"/>
  <c r="J80" i="10"/>
  <c r="I80" i="10" s="1"/>
  <c r="H80" i="10"/>
  <c r="F80" i="10"/>
  <c r="M80" i="10" s="1"/>
  <c r="E80" i="10"/>
  <c r="D80" i="10"/>
  <c r="Q79" i="10"/>
  <c r="P79" i="10" s="1"/>
  <c r="O79" i="10"/>
  <c r="N79" i="10"/>
  <c r="L79" i="10"/>
  <c r="J79" i="10"/>
  <c r="I79" i="10" s="1"/>
  <c r="H79" i="10"/>
  <c r="E79" i="10"/>
  <c r="D79" i="10"/>
  <c r="F79" i="10" s="1"/>
  <c r="M79" i="10" s="1"/>
  <c r="Q78" i="10"/>
  <c r="P78" i="10" s="1"/>
  <c r="O78" i="10"/>
  <c r="N78" i="10"/>
  <c r="L78" i="10"/>
  <c r="J78" i="10"/>
  <c r="I78" i="10" s="1"/>
  <c r="H78" i="10"/>
  <c r="E78" i="10"/>
  <c r="D78" i="10"/>
  <c r="F78" i="10" s="1"/>
  <c r="M78" i="10" s="1"/>
  <c r="Q77" i="10"/>
  <c r="P77" i="10" s="1"/>
  <c r="O77" i="10"/>
  <c r="N77" i="10"/>
  <c r="L77" i="10"/>
  <c r="J77" i="10"/>
  <c r="I77" i="10" s="1"/>
  <c r="H77" i="10"/>
  <c r="E77" i="10"/>
  <c r="D77" i="10"/>
  <c r="F77" i="10" s="1"/>
  <c r="M77" i="10" s="1"/>
  <c r="Q76" i="10"/>
  <c r="P76" i="10" s="1"/>
  <c r="O76" i="10"/>
  <c r="N76" i="10"/>
  <c r="L76" i="10"/>
  <c r="J76" i="10"/>
  <c r="I76" i="10" s="1"/>
  <c r="H76" i="10"/>
  <c r="E76" i="10"/>
  <c r="D76" i="10"/>
  <c r="F76" i="10" s="1"/>
  <c r="M76" i="10" s="1"/>
  <c r="Q75" i="10"/>
  <c r="P75" i="10" s="1"/>
  <c r="O75" i="10"/>
  <c r="N75" i="10"/>
  <c r="L75" i="10"/>
  <c r="J75" i="10"/>
  <c r="I75" i="10" s="1"/>
  <c r="H75" i="10"/>
  <c r="F75" i="10"/>
  <c r="M75" i="10" s="1"/>
  <c r="E75" i="10"/>
  <c r="D75" i="10"/>
  <c r="Q74" i="10"/>
  <c r="P74" i="10" s="1"/>
  <c r="O74" i="10"/>
  <c r="N74" i="10"/>
  <c r="L74" i="10"/>
  <c r="J74" i="10"/>
  <c r="I74" i="10" s="1"/>
  <c r="H74" i="10"/>
  <c r="E74" i="10"/>
  <c r="D74" i="10"/>
  <c r="F74" i="10" s="1"/>
  <c r="M74" i="10" s="1"/>
  <c r="Q73" i="10"/>
  <c r="P73" i="10" s="1"/>
  <c r="O73" i="10"/>
  <c r="N73" i="10"/>
  <c r="L73" i="10"/>
  <c r="J73" i="10"/>
  <c r="I73" i="10" s="1"/>
  <c r="H73" i="10"/>
  <c r="E73" i="10"/>
  <c r="D73" i="10"/>
  <c r="F73" i="10" s="1"/>
  <c r="M73" i="10" s="1"/>
  <c r="Q72" i="10"/>
  <c r="P72" i="10" s="1"/>
  <c r="O72" i="10"/>
  <c r="N72" i="10"/>
  <c r="L72" i="10"/>
  <c r="J72" i="10"/>
  <c r="I72" i="10" s="1"/>
  <c r="H72" i="10"/>
  <c r="F72" i="10"/>
  <c r="M72" i="10" s="1"/>
  <c r="E72" i="10"/>
  <c r="D72" i="10"/>
  <c r="Q71" i="10"/>
  <c r="P71" i="10" s="1"/>
  <c r="O71" i="10"/>
  <c r="N71" i="10"/>
  <c r="L71" i="10"/>
  <c r="J71" i="10"/>
  <c r="I71" i="10" s="1"/>
  <c r="H71" i="10"/>
  <c r="E71" i="10"/>
  <c r="D71" i="10"/>
  <c r="F71" i="10" s="1"/>
  <c r="M71" i="10" s="1"/>
  <c r="Q70" i="10"/>
  <c r="P70" i="10" s="1"/>
  <c r="O70" i="10"/>
  <c r="N70" i="10"/>
  <c r="L70" i="10"/>
  <c r="J70" i="10"/>
  <c r="I70" i="10" s="1"/>
  <c r="H70" i="10"/>
  <c r="E70" i="10"/>
  <c r="D70" i="10"/>
  <c r="F70" i="10" s="1"/>
  <c r="M70" i="10" s="1"/>
  <c r="Q69" i="10"/>
  <c r="P69" i="10" s="1"/>
  <c r="O69" i="10"/>
  <c r="N69" i="10"/>
  <c r="L69" i="10"/>
  <c r="J69" i="10"/>
  <c r="I69" i="10" s="1"/>
  <c r="H69" i="10"/>
  <c r="E69" i="10"/>
  <c r="D69" i="10"/>
  <c r="F69" i="10" s="1"/>
  <c r="M69" i="10" s="1"/>
  <c r="Q68" i="10"/>
  <c r="P68" i="10" s="1"/>
  <c r="O68" i="10"/>
  <c r="N68" i="10"/>
  <c r="L68" i="10"/>
  <c r="J68" i="10"/>
  <c r="I68" i="10" s="1"/>
  <c r="H68" i="10"/>
  <c r="F68" i="10"/>
  <c r="M68" i="10" s="1"/>
  <c r="E68" i="10"/>
  <c r="D68" i="10"/>
  <c r="Q67" i="10"/>
  <c r="P67" i="10" s="1"/>
  <c r="O67" i="10"/>
  <c r="N67" i="10"/>
  <c r="L67" i="10"/>
  <c r="J67" i="10"/>
  <c r="I67" i="10" s="1"/>
  <c r="H67" i="10"/>
  <c r="F67" i="10"/>
  <c r="M67" i="10" s="1"/>
  <c r="E67" i="10"/>
  <c r="D67" i="10"/>
  <c r="Q66" i="10"/>
  <c r="P66" i="10" s="1"/>
  <c r="O66" i="10"/>
  <c r="N66" i="10"/>
  <c r="L66" i="10"/>
  <c r="J66" i="10"/>
  <c r="I66" i="10" s="1"/>
  <c r="H66" i="10"/>
  <c r="E66" i="10"/>
  <c r="D66" i="10"/>
  <c r="F66" i="10" s="1"/>
  <c r="M66" i="10" s="1"/>
  <c r="Q65" i="10"/>
  <c r="P65" i="10" s="1"/>
  <c r="O65" i="10"/>
  <c r="N65" i="10"/>
  <c r="L65" i="10"/>
  <c r="J65" i="10"/>
  <c r="I65" i="10" s="1"/>
  <c r="H65" i="10"/>
  <c r="E65" i="10"/>
  <c r="D65" i="10"/>
  <c r="F65" i="10" s="1"/>
  <c r="M65" i="10" s="1"/>
  <c r="Q64" i="10"/>
  <c r="P64" i="10" s="1"/>
  <c r="O64" i="10"/>
  <c r="N64" i="10"/>
  <c r="L64" i="10"/>
  <c r="J64" i="10"/>
  <c r="I64" i="10" s="1"/>
  <c r="H64" i="10"/>
  <c r="E64" i="10"/>
  <c r="D64" i="10"/>
  <c r="F64" i="10" s="1"/>
  <c r="M64" i="10" s="1"/>
  <c r="Q63" i="10"/>
  <c r="P63" i="10" s="1"/>
  <c r="O63" i="10"/>
  <c r="N63" i="10"/>
  <c r="L63" i="10"/>
  <c r="J63" i="10"/>
  <c r="I63" i="10" s="1"/>
  <c r="H63" i="10"/>
  <c r="E63" i="10"/>
  <c r="D63" i="10"/>
  <c r="F63" i="10" s="1"/>
  <c r="M63" i="10" s="1"/>
  <c r="Q62" i="10"/>
  <c r="P62" i="10" s="1"/>
  <c r="O62" i="10"/>
  <c r="N62" i="10"/>
  <c r="L62" i="10"/>
  <c r="J62" i="10"/>
  <c r="I62" i="10" s="1"/>
  <c r="H62" i="10"/>
  <c r="E62" i="10"/>
  <c r="D62" i="10"/>
  <c r="F62" i="10" s="1"/>
  <c r="M62" i="10" s="1"/>
  <c r="Q61" i="10"/>
  <c r="P61" i="10" s="1"/>
  <c r="O61" i="10"/>
  <c r="N61" i="10"/>
  <c r="L61" i="10"/>
  <c r="J61" i="10"/>
  <c r="I61" i="10" s="1"/>
  <c r="H61" i="10"/>
  <c r="E61" i="10"/>
  <c r="D61" i="10"/>
  <c r="F61" i="10" s="1"/>
  <c r="M61" i="10" s="1"/>
  <c r="Q60" i="10"/>
  <c r="P60" i="10" s="1"/>
  <c r="O60" i="10"/>
  <c r="N60" i="10"/>
  <c r="L60" i="10"/>
  <c r="J60" i="10"/>
  <c r="I60" i="10" s="1"/>
  <c r="H60" i="10"/>
  <c r="F60" i="10"/>
  <c r="M60" i="10" s="1"/>
  <c r="E60" i="10"/>
  <c r="D60" i="10"/>
  <c r="Q59" i="10"/>
  <c r="P59" i="10" s="1"/>
  <c r="O59" i="10"/>
  <c r="N59" i="10"/>
  <c r="L59" i="10"/>
  <c r="J59" i="10"/>
  <c r="I59" i="10" s="1"/>
  <c r="H59" i="10"/>
  <c r="F59" i="10"/>
  <c r="M59" i="10" s="1"/>
  <c r="E59" i="10"/>
  <c r="D59" i="10"/>
  <c r="Q58" i="10"/>
  <c r="P58" i="10" s="1"/>
  <c r="O58" i="10"/>
  <c r="N58" i="10"/>
  <c r="L58" i="10"/>
  <c r="J58" i="10"/>
  <c r="I58" i="10" s="1"/>
  <c r="H58" i="10"/>
  <c r="E58" i="10"/>
  <c r="D58" i="10"/>
  <c r="F58" i="10" s="1"/>
  <c r="M58" i="10" s="1"/>
  <c r="Q57" i="10"/>
  <c r="P57" i="10" s="1"/>
  <c r="O57" i="10"/>
  <c r="N57" i="10"/>
  <c r="L57" i="10"/>
  <c r="J57" i="10"/>
  <c r="I57" i="10" s="1"/>
  <c r="H57" i="10"/>
  <c r="E57" i="10"/>
  <c r="D57" i="10"/>
  <c r="F57" i="10" s="1"/>
  <c r="M57" i="10" s="1"/>
  <c r="Q56" i="10"/>
  <c r="P56" i="10" s="1"/>
  <c r="O56" i="10"/>
  <c r="N56" i="10"/>
  <c r="L56" i="10"/>
  <c r="J56" i="10"/>
  <c r="I56" i="10" s="1"/>
  <c r="H56" i="10"/>
  <c r="E56" i="10"/>
  <c r="D56" i="10"/>
  <c r="F56" i="10" s="1"/>
  <c r="M56" i="10" s="1"/>
  <c r="Q55" i="10"/>
  <c r="P55" i="10" s="1"/>
  <c r="O55" i="10"/>
  <c r="N55" i="10"/>
  <c r="L55" i="10"/>
  <c r="J55" i="10"/>
  <c r="I55" i="10" s="1"/>
  <c r="H55" i="10"/>
  <c r="F55" i="10"/>
  <c r="M55" i="10" s="1"/>
  <c r="E55" i="10"/>
  <c r="D55" i="10"/>
  <c r="Q54" i="10"/>
  <c r="P54" i="10" s="1"/>
  <c r="O54" i="10"/>
  <c r="N54" i="10"/>
  <c r="L54" i="10"/>
  <c r="J54" i="10"/>
  <c r="I54" i="10" s="1"/>
  <c r="H54" i="10"/>
  <c r="E54" i="10"/>
  <c r="D54" i="10"/>
  <c r="F54" i="10" s="1"/>
  <c r="M54" i="10" s="1"/>
  <c r="Q53" i="10"/>
  <c r="P53" i="10" s="1"/>
  <c r="O53" i="10"/>
  <c r="N53" i="10"/>
  <c r="L53" i="10"/>
  <c r="J53" i="10"/>
  <c r="I53" i="10" s="1"/>
  <c r="H53" i="10"/>
  <c r="E53" i="10"/>
  <c r="D53" i="10"/>
  <c r="F53" i="10" s="1"/>
  <c r="M53" i="10" s="1"/>
  <c r="Q52" i="10"/>
  <c r="P52" i="10" s="1"/>
  <c r="O52" i="10"/>
  <c r="N52" i="10"/>
  <c r="L52" i="10"/>
  <c r="J52" i="10"/>
  <c r="I52" i="10" s="1"/>
  <c r="H52" i="10"/>
  <c r="F52" i="10"/>
  <c r="M52" i="10" s="1"/>
  <c r="E52" i="10"/>
  <c r="D52" i="10"/>
  <c r="Q51" i="10"/>
  <c r="P51" i="10" s="1"/>
  <c r="O51" i="10"/>
  <c r="N51" i="10"/>
  <c r="L51" i="10"/>
  <c r="J51" i="10"/>
  <c r="I51" i="10" s="1"/>
  <c r="H51" i="10"/>
  <c r="E51" i="10"/>
  <c r="D51" i="10"/>
  <c r="F51" i="10" s="1"/>
  <c r="M51" i="10" s="1"/>
  <c r="Q50" i="10"/>
  <c r="P50" i="10" s="1"/>
  <c r="O50" i="10"/>
  <c r="N50" i="10"/>
  <c r="L50" i="10"/>
  <c r="J50" i="10"/>
  <c r="I50" i="10" s="1"/>
  <c r="H50" i="10"/>
  <c r="E50" i="10"/>
  <c r="D50" i="10"/>
  <c r="F50" i="10" s="1"/>
  <c r="M50" i="10" s="1"/>
  <c r="Q49" i="10"/>
  <c r="P49" i="10" s="1"/>
  <c r="O49" i="10"/>
  <c r="N49" i="10"/>
  <c r="L49" i="10"/>
  <c r="J49" i="10"/>
  <c r="I49" i="10" s="1"/>
  <c r="H49" i="10"/>
  <c r="E49" i="10"/>
  <c r="D49" i="10"/>
  <c r="F49" i="10" s="1"/>
  <c r="M49" i="10" s="1"/>
  <c r="Q48" i="10"/>
  <c r="P48" i="10" s="1"/>
  <c r="O48" i="10"/>
  <c r="N48" i="10"/>
  <c r="L48" i="10"/>
  <c r="J48" i="10"/>
  <c r="I48" i="10" s="1"/>
  <c r="H48" i="10"/>
  <c r="E48" i="10"/>
  <c r="D48" i="10"/>
  <c r="F48" i="10" s="1"/>
  <c r="M48" i="10" s="1"/>
  <c r="Q47" i="10"/>
  <c r="P47" i="10" s="1"/>
  <c r="O47" i="10"/>
  <c r="N47" i="10"/>
  <c r="L47" i="10"/>
  <c r="J47" i="10"/>
  <c r="I47" i="10" s="1"/>
  <c r="H47" i="10"/>
  <c r="F47" i="10"/>
  <c r="M47" i="10" s="1"/>
  <c r="E47" i="10"/>
  <c r="D47" i="10"/>
  <c r="Q46" i="10"/>
  <c r="P46" i="10" s="1"/>
  <c r="O46" i="10"/>
  <c r="N46" i="10"/>
  <c r="L46" i="10"/>
  <c r="J46" i="10"/>
  <c r="I46" i="10" s="1"/>
  <c r="H46" i="10"/>
  <c r="E46" i="10"/>
  <c r="D46" i="10"/>
  <c r="F46" i="10" s="1"/>
  <c r="M46" i="10" s="1"/>
  <c r="Q45" i="10"/>
  <c r="P45" i="10" s="1"/>
  <c r="O45" i="10"/>
  <c r="N45" i="10"/>
  <c r="M45" i="10"/>
  <c r="L45" i="10"/>
  <c r="J45" i="10"/>
  <c r="I45" i="10" s="1"/>
  <c r="H45" i="10"/>
  <c r="E45" i="10"/>
  <c r="D45" i="10"/>
  <c r="F45" i="10" s="1"/>
  <c r="Q44" i="10"/>
  <c r="P44" i="10" s="1"/>
  <c r="O44" i="10"/>
  <c r="N44" i="10"/>
  <c r="L44" i="10"/>
  <c r="J44" i="10"/>
  <c r="I44" i="10" s="1"/>
  <c r="H44" i="10"/>
  <c r="E44" i="10"/>
  <c r="D44" i="10"/>
  <c r="F44" i="10" s="1"/>
  <c r="M44" i="10" s="1"/>
  <c r="Q43" i="10"/>
  <c r="P43" i="10" s="1"/>
  <c r="O43" i="10"/>
  <c r="N43" i="10"/>
  <c r="L43" i="10"/>
  <c r="J43" i="10"/>
  <c r="I43" i="10" s="1"/>
  <c r="H43" i="10"/>
  <c r="E43" i="10"/>
  <c r="D43" i="10"/>
  <c r="F43" i="10" s="1"/>
  <c r="M43" i="10" s="1"/>
  <c r="Q42" i="10"/>
  <c r="P42" i="10" s="1"/>
  <c r="O42" i="10"/>
  <c r="N42" i="10"/>
  <c r="L42" i="10"/>
  <c r="J42" i="10"/>
  <c r="I42" i="10" s="1"/>
  <c r="H42" i="10"/>
  <c r="E42" i="10"/>
  <c r="D42" i="10"/>
  <c r="F42" i="10" s="1"/>
  <c r="M42" i="10" s="1"/>
  <c r="Q41" i="10"/>
  <c r="P41" i="10" s="1"/>
  <c r="O41" i="10"/>
  <c r="N41" i="10"/>
  <c r="L41" i="10"/>
  <c r="J41" i="10"/>
  <c r="I41" i="10" s="1"/>
  <c r="H41" i="10"/>
  <c r="E41" i="10"/>
  <c r="D41" i="10"/>
  <c r="F41" i="10" s="1"/>
  <c r="M41" i="10" s="1"/>
  <c r="Q40" i="10"/>
  <c r="P40" i="10" s="1"/>
  <c r="O40" i="10"/>
  <c r="N40" i="10"/>
  <c r="L40" i="10"/>
  <c r="J40" i="10"/>
  <c r="I40" i="10" s="1"/>
  <c r="H40" i="10"/>
  <c r="F40" i="10"/>
  <c r="M40" i="10" s="1"/>
  <c r="E40" i="10"/>
  <c r="D40" i="10"/>
  <c r="Q39" i="10"/>
  <c r="P39" i="10" s="1"/>
  <c r="O39" i="10"/>
  <c r="N39" i="10"/>
  <c r="L39" i="10"/>
  <c r="J39" i="10"/>
  <c r="I39" i="10" s="1"/>
  <c r="H39" i="10"/>
  <c r="E39" i="10"/>
  <c r="D39" i="10"/>
  <c r="F39" i="10" s="1"/>
  <c r="M39" i="10" s="1"/>
  <c r="Q38" i="10"/>
  <c r="P38" i="10" s="1"/>
  <c r="O38" i="10"/>
  <c r="N38" i="10"/>
  <c r="M38" i="10"/>
  <c r="L38" i="10"/>
  <c r="J38" i="10"/>
  <c r="I38" i="10" s="1"/>
  <c r="H38" i="10"/>
  <c r="E38" i="10"/>
  <c r="D38" i="10"/>
  <c r="F38" i="10" s="1"/>
  <c r="Q37" i="10"/>
  <c r="P37" i="10" s="1"/>
  <c r="O37" i="10"/>
  <c r="N37" i="10"/>
  <c r="L37" i="10"/>
  <c r="J37" i="10"/>
  <c r="I37" i="10" s="1"/>
  <c r="H37" i="10"/>
  <c r="E37" i="10"/>
  <c r="D37" i="10"/>
  <c r="F37" i="10" s="1"/>
  <c r="M37" i="10" s="1"/>
  <c r="Q36" i="10"/>
  <c r="P36" i="10" s="1"/>
  <c r="O36" i="10"/>
  <c r="N36" i="10"/>
  <c r="L36" i="10"/>
  <c r="J36" i="10"/>
  <c r="I36" i="10" s="1"/>
  <c r="H36" i="10"/>
  <c r="E36" i="10"/>
  <c r="D36" i="10"/>
  <c r="F36" i="10" s="1"/>
  <c r="M36" i="10" s="1"/>
  <c r="Q35" i="10"/>
  <c r="P35" i="10" s="1"/>
  <c r="O35" i="10"/>
  <c r="N35" i="10"/>
  <c r="L35" i="10"/>
  <c r="J35" i="10"/>
  <c r="I35" i="10" s="1"/>
  <c r="H35" i="10"/>
  <c r="E35" i="10"/>
  <c r="D35" i="10"/>
  <c r="F35" i="10" s="1"/>
  <c r="M35" i="10" s="1"/>
  <c r="Q34" i="10"/>
  <c r="P34" i="10" s="1"/>
  <c r="O34" i="10"/>
  <c r="N34" i="10"/>
  <c r="L34" i="10"/>
  <c r="J34" i="10"/>
  <c r="I34" i="10" s="1"/>
  <c r="H34" i="10"/>
  <c r="E34" i="10"/>
  <c r="D34" i="10"/>
  <c r="F34" i="10" s="1"/>
  <c r="M34" i="10" s="1"/>
  <c r="D33" i="10"/>
  <c r="F33" i="10" s="1"/>
  <c r="M33" i="10" s="1"/>
  <c r="D32" i="10"/>
  <c r="F32" i="10" s="1"/>
  <c r="M32" i="10" s="1"/>
  <c r="E31" i="10"/>
  <c r="J31" i="10" s="1"/>
  <c r="I31" i="10" s="1"/>
  <c r="D31" i="10"/>
  <c r="F31" i="10" s="1"/>
  <c r="M31" i="10" s="1"/>
  <c r="D30" i="10"/>
  <c r="F30" i="10" s="1"/>
  <c r="M30" i="10" s="1"/>
  <c r="D28" i="10"/>
  <c r="F28" i="10" s="1"/>
  <c r="M28" i="10" s="1"/>
  <c r="D27" i="10"/>
  <c r="F27" i="10" s="1"/>
  <c r="M27" i="10" s="1"/>
  <c r="D26" i="10"/>
  <c r="F26" i="10" s="1"/>
  <c r="M26" i="10" s="1"/>
  <c r="D25" i="10"/>
  <c r="F25" i="10" s="1"/>
  <c r="M25" i="10" s="1"/>
  <c r="D24" i="10"/>
  <c r="F24" i="10" s="1"/>
  <c r="M24" i="10" s="1"/>
  <c r="D23" i="10"/>
  <c r="F23" i="10" s="1"/>
  <c r="M23" i="10" s="1"/>
  <c r="D22" i="10"/>
  <c r="F22" i="10" s="1"/>
  <c r="M22" i="10" s="1"/>
  <c r="D21" i="10"/>
  <c r="F21" i="10" s="1"/>
  <c r="M21" i="10" s="1"/>
  <c r="D20" i="10"/>
  <c r="F20" i="10" s="1"/>
  <c r="M20" i="10" s="1"/>
  <c r="D19" i="10"/>
  <c r="F19" i="10" s="1"/>
  <c r="M19" i="10" s="1"/>
  <c r="D18" i="10"/>
  <c r="F18" i="10" s="1"/>
  <c r="M18" i="10" s="1"/>
  <c r="D17" i="10"/>
  <c r="F17" i="10" s="1"/>
  <c r="M17" i="10" s="1"/>
  <c r="D16" i="10"/>
  <c r="F16" i="10" s="1"/>
  <c r="M16" i="10" s="1"/>
  <c r="D15" i="10"/>
  <c r="F15" i="10" s="1"/>
  <c r="M15" i="10" s="1"/>
  <c r="D14" i="10"/>
  <c r="F14" i="10" s="1"/>
  <c r="M14" i="10" s="1"/>
  <c r="D13" i="10"/>
  <c r="F13" i="10" s="1"/>
  <c r="M13" i="10" s="1"/>
  <c r="D12" i="10"/>
  <c r="F12" i="10" s="1"/>
  <c r="M12" i="10" s="1"/>
  <c r="D11" i="10"/>
  <c r="F11" i="10" s="1"/>
  <c r="M11" i="10" s="1"/>
  <c r="D10" i="10"/>
  <c r="F10" i="10" s="1"/>
  <c r="M10" i="10" s="1"/>
  <c r="D9" i="10"/>
  <c r="N3" i="10"/>
  <c r="N2" i="10" s="1"/>
  <c r="N12" i="10" s="1"/>
  <c r="Q34" i="8"/>
  <c r="Q35" i="8"/>
  <c r="Q36" i="8"/>
  <c r="P36" i="8" s="1"/>
  <c r="Q37" i="8"/>
  <c r="P37" i="8" s="1"/>
  <c r="Q38" i="8"/>
  <c r="Q39" i="8"/>
  <c r="Q40" i="8"/>
  <c r="Q41" i="8"/>
  <c r="P41" i="8" s="1"/>
  <c r="Q42" i="8"/>
  <c r="Q43" i="8"/>
  <c r="Q44" i="8"/>
  <c r="P44" i="8" s="1"/>
  <c r="Q45" i="8"/>
  <c r="P45" i="8" s="1"/>
  <c r="Q46" i="8"/>
  <c r="Q47" i="8"/>
  <c r="Q48" i="8"/>
  <c r="Q49" i="8"/>
  <c r="P49" i="8" s="1"/>
  <c r="Q50" i="8"/>
  <c r="Q51" i="8"/>
  <c r="Q52" i="8"/>
  <c r="P52" i="8" s="1"/>
  <c r="Q53" i="8"/>
  <c r="P53" i="8" s="1"/>
  <c r="Q54" i="8"/>
  <c r="Q55" i="8"/>
  <c r="Q56" i="8"/>
  <c r="Q57" i="8"/>
  <c r="P57" i="8" s="1"/>
  <c r="Q58" i="8"/>
  <c r="Q59" i="8"/>
  <c r="Q60" i="8"/>
  <c r="P60" i="8" s="1"/>
  <c r="Q61" i="8"/>
  <c r="Q62" i="8"/>
  <c r="Q63" i="8"/>
  <c r="Q64" i="8"/>
  <c r="P64" i="8" s="1"/>
  <c r="Q65" i="8"/>
  <c r="P65" i="8" s="1"/>
  <c r="Q66" i="8"/>
  <c r="Q67" i="8"/>
  <c r="Q68" i="8"/>
  <c r="Q69" i="8"/>
  <c r="P69" i="8" s="1"/>
  <c r="Q70" i="8"/>
  <c r="Q71" i="8"/>
  <c r="Q72" i="8"/>
  <c r="P72" i="8" s="1"/>
  <c r="Q73" i="8"/>
  <c r="P73" i="8" s="1"/>
  <c r="Q74" i="8"/>
  <c r="Q75" i="8"/>
  <c r="Q76" i="8"/>
  <c r="Q77" i="8"/>
  <c r="Q78" i="8"/>
  <c r="Q79" i="8"/>
  <c r="Q80" i="8"/>
  <c r="P80" i="8" s="1"/>
  <c r="Q81" i="8"/>
  <c r="P81" i="8" s="1"/>
  <c r="Q82" i="8"/>
  <c r="Q83" i="8"/>
  <c r="Q84" i="8"/>
  <c r="Q85" i="8"/>
  <c r="P85" i="8" s="1"/>
  <c r="Q86" i="8"/>
  <c r="Q87" i="8"/>
  <c r="Q88" i="8"/>
  <c r="P88" i="8" s="1"/>
  <c r="Q89" i="8"/>
  <c r="P89" i="8" s="1"/>
  <c r="Q90" i="8"/>
  <c r="Q91" i="8"/>
  <c r="Q92" i="8"/>
  <c r="Q93" i="8"/>
  <c r="P93" i="8" s="1"/>
  <c r="Q94" i="8"/>
  <c r="Q95" i="8"/>
  <c r="Q96" i="8"/>
  <c r="Q97" i="8"/>
  <c r="P97" i="8" s="1"/>
  <c r="Q98" i="8"/>
  <c r="Q99" i="8"/>
  <c r="Q100" i="8"/>
  <c r="P100" i="8" s="1"/>
  <c r="Q101" i="8"/>
  <c r="P101" i="8" s="1"/>
  <c r="Q102" i="8"/>
  <c r="Q103" i="8"/>
  <c r="Q104" i="8"/>
  <c r="Q105" i="8"/>
  <c r="P105" i="8" s="1"/>
  <c r="Q106" i="8"/>
  <c r="Q107" i="8"/>
  <c r="Q108" i="8"/>
  <c r="P108" i="8" s="1"/>
  <c r="Q109" i="8"/>
  <c r="P109" i="8" s="1"/>
  <c r="Q110" i="8"/>
  <c r="Q111" i="8"/>
  <c r="Q112" i="8"/>
  <c r="Q113" i="8"/>
  <c r="P113" i="8" s="1"/>
  <c r="Q114" i="8"/>
  <c r="Q115" i="8"/>
  <c r="Q116" i="8"/>
  <c r="P116" i="8" s="1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O115" i="8"/>
  <c r="O116" i="8"/>
  <c r="P35" i="8"/>
  <c r="P39" i="8"/>
  <c r="P40" i="8"/>
  <c r="P43" i="8"/>
  <c r="P47" i="8"/>
  <c r="P48" i="8"/>
  <c r="P51" i="8"/>
  <c r="P55" i="8"/>
  <c r="P56" i="8"/>
  <c r="P59" i="8"/>
  <c r="P61" i="8"/>
  <c r="P63" i="8"/>
  <c r="P67" i="8"/>
  <c r="P68" i="8"/>
  <c r="P71" i="8"/>
  <c r="P75" i="8"/>
  <c r="P76" i="8"/>
  <c r="P77" i="8"/>
  <c r="P79" i="8"/>
  <c r="P83" i="8"/>
  <c r="P84" i="8"/>
  <c r="P87" i="8"/>
  <c r="P91" i="8"/>
  <c r="P92" i="8"/>
  <c r="P95" i="8"/>
  <c r="P96" i="8"/>
  <c r="P99" i="8"/>
  <c r="P103" i="8"/>
  <c r="P104" i="8"/>
  <c r="P107" i="8"/>
  <c r="P111" i="8"/>
  <c r="P112" i="8"/>
  <c r="P115" i="8"/>
  <c r="P34" i="8"/>
  <c r="P38" i="8"/>
  <c r="P42" i="8"/>
  <c r="P46" i="8"/>
  <c r="P50" i="8"/>
  <c r="P54" i="8"/>
  <c r="P58" i="8"/>
  <c r="P62" i="8"/>
  <c r="P66" i="8"/>
  <c r="P70" i="8"/>
  <c r="P74" i="8"/>
  <c r="P78" i="8"/>
  <c r="P82" i="8"/>
  <c r="P86" i="8"/>
  <c r="P90" i="8"/>
  <c r="P94" i="8"/>
  <c r="P98" i="8"/>
  <c r="P102" i="8"/>
  <c r="P106" i="8"/>
  <c r="P110" i="8"/>
  <c r="P114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M13" i="8"/>
  <c r="M21" i="8"/>
  <c r="M22" i="8"/>
  <c r="M26" i="8"/>
  <c r="M33" i="8"/>
  <c r="M40" i="8"/>
  <c r="M41" i="8"/>
  <c r="M45" i="8"/>
  <c r="M53" i="8"/>
  <c r="M54" i="8"/>
  <c r="M58" i="8"/>
  <c r="M65" i="8"/>
  <c r="M73" i="8"/>
  <c r="M77" i="8"/>
  <c r="M85" i="8"/>
  <c r="M86" i="8"/>
  <c r="M90" i="8"/>
  <c r="M97" i="8"/>
  <c r="M104" i="8"/>
  <c r="M105" i="8"/>
  <c r="M113" i="8"/>
  <c r="N14" i="8"/>
  <c r="N21" i="8"/>
  <c r="N30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G9" i="8"/>
  <c r="J34" i="8"/>
  <c r="I34" i="8" s="1"/>
  <c r="J35" i="8"/>
  <c r="J36" i="8"/>
  <c r="J37" i="8"/>
  <c r="I37" i="8" s="1"/>
  <c r="J38" i="8"/>
  <c r="I38" i="8" s="1"/>
  <c r="J39" i="8"/>
  <c r="J40" i="8"/>
  <c r="J41" i="8"/>
  <c r="I41" i="8" s="1"/>
  <c r="J42" i="8"/>
  <c r="I42" i="8" s="1"/>
  <c r="J43" i="8"/>
  <c r="J44" i="8"/>
  <c r="J45" i="8"/>
  <c r="I45" i="8" s="1"/>
  <c r="J46" i="8"/>
  <c r="I46" i="8" s="1"/>
  <c r="J47" i="8"/>
  <c r="J48" i="8"/>
  <c r="J49" i="8"/>
  <c r="I49" i="8" s="1"/>
  <c r="J50" i="8"/>
  <c r="I50" i="8" s="1"/>
  <c r="J51" i="8"/>
  <c r="J52" i="8"/>
  <c r="J53" i="8"/>
  <c r="I53" i="8" s="1"/>
  <c r="J54" i="8"/>
  <c r="I54" i="8" s="1"/>
  <c r="J55" i="8"/>
  <c r="J56" i="8"/>
  <c r="J57" i="8"/>
  <c r="I57" i="8" s="1"/>
  <c r="J58" i="8"/>
  <c r="I58" i="8" s="1"/>
  <c r="J59" i="8"/>
  <c r="J60" i="8"/>
  <c r="J61" i="8"/>
  <c r="I61" i="8" s="1"/>
  <c r="J62" i="8"/>
  <c r="I62" i="8" s="1"/>
  <c r="J63" i="8"/>
  <c r="J64" i="8"/>
  <c r="J65" i="8"/>
  <c r="I65" i="8" s="1"/>
  <c r="J66" i="8"/>
  <c r="I66" i="8" s="1"/>
  <c r="J67" i="8"/>
  <c r="J68" i="8"/>
  <c r="J69" i="8"/>
  <c r="I69" i="8" s="1"/>
  <c r="J70" i="8"/>
  <c r="I70" i="8" s="1"/>
  <c r="J71" i="8"/>
  <c r="J72" i="8"/>
  <c r="J73" i="8"/>
  <c r="I73" i="8" s="1"/>
  <c r="J74" i="8"/>
  <c r="I74" i="8" s="1"/>
  <c r="J75" i="8"/>
  <c r="J76" i="8"/>
  <c r="J77" i="8"/>
  <c r="I77" i="8" s="1"/>
  <c r="J78" i="8"/>
  <c r="I78" i="8" s="1"/>
  <c r="J79" i="8"/>
  <c r="J80" i="8"/>
  <c r="J81" i="8"/>
  <c r="I81" i="8" s="1"/>
  <c r="J82" i="8"/>
  <c r="I82" i="8" s="1"/>
  <c r="J83" i="8"/>
  <c r="J84" i="8"/>
  <c r="J85" i="8"/>
  <c r="I85" i="8" s="1"/>
  <c r="J86" i="8"/>
  <c r="I86" i="8" s="1"/>
  <c r="J87" i="8"/>
  <c r="J88" i="8"/>
  <c r="J89" i="8"/>
  <c r="I89" i="8" s="1"/>
  <c r="J90" i="8"/>
  <c r="I90" i="8" s="1"/>
  <c r="J91" i="8"/>
  <c r="J92" i="8"/>
  <c r="J93" i="8"/>
  <c r="I93" i="8" s="1"/>
  <c r="J94" i="8"/>
  <c r="I94" i="8" s="1"/>
  <c r="J95" i="8"/>
  <c r="J96" i="8"/>
  <c r="J97" i="8"/>
  <c r="I97" i="8" s="1"/>
  <c r="J98" i="8"/>
  <c r="I98" i="8" s="1"/>
  <c r="J99" i="8"/>
  <c r="J100" i="8"/>
  <c r="I100" i="8" s="1"/>
  <c r="J101" i="8"/>
  <c r="I101" i="8" s="1"/>
  <c r="J102" i="8"/>
  <c r="I102" i="8" s="1"/>
  <c r="J103" i="8"/>
  <c r="J104" i="8"/>
  <c r="J105" i="8"/>
  <c r="I105" i="8" s="1"/>
  <c r="J106" i="8"/>
  <c r="I106" i="8" s="1"/>
  <c r="J107" i="8"/>
  <c r="J108" i="8"/>
  <c r="J109" i="8"/>
  <c r="I109" i="8" s="1"/>
  <c r="J110" i="8"/>
  <c r="I110" i="8" s="1"/>
  <c r="J111" i="8"/>
  <c r="J112" i="8"/>
  <c r="J113" i="8"/>
  <c r="I113" i="8" s="1"/>
  <c r="J114" i="8"/>
  <c r="I114" i="8" s="1"/>
  <c r="J115" i="8"/>
  <c r="J116" i="8"/>
  <c r="I116" i="8" s="1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E116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I3" i="8"/>
  <c r="I2" i="8" s="1"/>
  <c r="N18" i="8" s="1"/>
  <c r="L18" i="8" s="1"/>
  <c r="D10" i="8"/>
  <c r="F10" i="8" s="1"/>
  <c r="M10" i="8" s="1"/>
  <c r="D11" i="8"/>
  <c r="F11" i="8" s="1"/>
  <c r="M11" i="8" s="1"/>
  <c r="D12" i="8"/>
  <c r="F12" i="8" s="1"/>
  <c r="M12" i="8" s="1"/>
  <c r="D13" i="8"/>
  <c r="F13" i="8" s="1"/>
  <c r="D14" i="8"/>
  <c r="D15" i="8"/>
  <c r="F15" i="8" s="1"/>
  <c r="M15" i="8" s="1"/>
  <c r="D16" i="8"/>
  <c r="F16" i="8" s="1"/>
  <c r="M16" i="8" s="1"/>
  <c r="D17" i="8"/>
  <c r="F17" i="8" s="1"/>
  <c r="M17" i="8" s="1"/>
  <c r="D18" i="8"/>
  <c r="F18" i="8" s="1"/>
  <c r="M18" i="8" s="1"/>
  <c r="D19" i="8"/>
  <c r="F19" i="8" s="1"/>
  <c r="M19" i="8" s="1"/>
  <c r="D20" i="8"/>
  <c r="F20" i="8" s="1"/>
  <c r="M20" i="8" s="1"/>
  <c r="D21" i="8"/>
  <c r="F21" i="8" s="1"/>
  <c r="D22" i="8"/>
  <c r="F22" i="8" s="1"/>
  <c r="D23" i="8"/>
  <c r="F23" i="8" s="1"/>
  <c r="M23" i="8" s="1"/>
  <c r="D24" i="8"/>
  <c r="F24" i="8" s="1"/>
  <c r="M24" i="8" s="1"/>
  <c r="D25" i="8"/>
  <c r="F25" i="8" s="1"/>
  <c r="M25" i="8" s="1"/>
  <c r="D26" i="8"/>
  <c r="F26" i="8" s="1"/>
  <c r="D27" i="8"/>
  <c r="F27" i="8" s="1"/>
  <c r="M27" i="8" s="1"/>
  <c r="D28" i="8"/>
  <c r="F28" i="8" s="1"/>
  <c r="M28" i="8" s="1"/>
  <c r="D29" i="8"/>
  <c r="F29" i="8" s="1"/>
  <c r="M29" i="8" s="1"/>
  <c r="D30" i="8"/>
  <c r="F30" i="8" s="1"/>
  <c r="M30" i="8" s="1"/>
  <c r="D31" i="8"/>
  <c r="F31" i="8" s="1"/>
  <c r="M31" i="8" s="1"/>
  <c r="D32" i="8"/>
  <c r="F32" i="8" s="1"/>
  <c r="M32" i="8" s="1"/>
  <c r="D33" i="8"/>
  <c r="F33" i="8" s="1"/>
  <c r="D34" i="8"/>
  <c r="F34" i="8" s="1"/>
  <c r="M34" i="8" s="1"/>
  <c r="D35" i="8"/>
  <c r="F35" i="8" s="1"/>
  <c r="M35" i="8" s="1"/>
  <c r="D36" i="8"/>
  <c r="F36" i="8" s="1"/>
  <c r="M36" i="8" s="1"/>
  <c r="D37" i="8"/>
  <c r="F37" i="8" s="1"/>
  <c r="M37" i="8" s="1"/>
  <c r="D38" i="8"/>
  <c r="F38" i="8" s="1"/>
  <c r="M38" i="8" s="1"/>
  <c r="D39" i="8"/>
  <c r="F39" i="8" s="1"/>
  <c r="M39" i="8" s="1"/>
  <c r="D40" i="8"/>
  <c r="F40" i="8" s="1"/>
  <c r="D41" i="8"/>
  <c r="F41" i="8" s="1"/>
  <c r="D42" i="8"/>
  <c r="F42" i="8" s="1"/>
  <c r="M42" i="8" s="1"/>
  <c r="D43" i="8"/>
  <c r="F43" i="8" s="1"/>
  <c r="M43" i="8" s="1"/>
  <c r="D44" i="8"/>
  <c r="F44" i="8" s="1"/>
  <c r="M44" i="8" s="1"/>
  <c r="D45" i="8"/>
  <c r="F45" i="8" s="1"/>
  <c r="D46" i="8"/>
  <c r="F46" i="8" s="1"/>
  <c r="M46" i="8" s="1"/>
  <c r="D47" i="8"/>
  <c r="F47" i="8" s="1"/>
  <c r="M47" i="8" s="1"/>
  <c r="D48" i="8"/>
  <c r="F48" i="8" s="1"/>
  <c r="M48" i="8" s="1"/>
  <c r="D49" i="8"/>
  <c r="F49" i="8" s="1"/>
  <c r="M49" i="8" s="1"/>
  <c r="D50" i="8"/>
  <c r="F50" i="8" s="1"/>
  <c r="M50" i="8" s="1"/>
  <c r="D51" i="8"/>
  <c r="F51" i="8" s="1"/>
  <c r="M51" i="8" s="1"/>
  <c r="D52" i="8"/>
  <c r="F52" i="8" s="1"/>
  <c r="M52" i="8" s="1"/>
  <c r="D53" i="8"/>
  <c r="F53" i="8" s="1"/>
  <c r="D54" i="8"/>
  <c r="F54" i="8" s="1"/>
  <c r="D55" i="8"/>
  <c r="F55" i="8" s="1"/>
  <c r="M55" i="8" s="1"/>
  <c r="D56" i="8"/>
  <c r="F56" i="8" s="1"/>
  <c r="M56" i="8" s="1"/>
  <c r="D57" i="8"/>
  <c r="F57" i="8" s="1"/>
  <c r="M57" i="8" s="1"/>
  <c r="D58" i="8"/>
  <c r="F58" i="8" s="1"/>
  <c r="D59" i="8"/>
  <c r="F59" i="8" s="1"/>
  <c r="M59" i="8" s="1"/>
  <c r="D60" i="8"/>
  <c r="F60" i="8" s="1"/>
  <c r="M60" i="8" s="1"/>
  <c r="D61" i="8"/>
  <c r="F61" i="8" s="1"/>
  <c r="M61" i="8" s="1"/>
  <c r="D62" i="8"/>
  <c r="F62" i="8" s="1"/>
  <c r="M62" i="8" s="1"/>
  <c r="D63" i="8"/>
  <c r="F63" i="8" s="1"/>
  <c r="M63" i="8" s="1"/>
  <c r="D64" i="8"/>
  <c r="F64" i="8" s="1"/>
  <c r="M64" i="8" s="1"/>
  <c r="D65" i="8"/>
  <c r="F65" i="8" s="1"/>
  <c r="D66" i="8"/>
  <c r="F66" i="8" s="1"/>
  <c r="M66" i="8" s="1"/>
  <c r="D67" i="8"/>
  <c r="F67" i="8" s="1"/>
  <c r="M67" i="8" s="1"/>
  <c r="D68" i="8"/>
  <c r="F68" i="8" s="1"/>
  <c r="M68" i="8" s="1"/>
  <c r="D69" i="8"/>
  <c r="F69" i="8" s="1"/>
  <c r="M69" i="8" s="1"/>
  <c r="D70" i="8"/>
  <c r="F70" i="8" s="1"/>
  <c r="M70" i="8" s="1"/>
  <c r="D71" i="8"/>
  <c r="F71" i="8" s="1"/>
  <c r="M71" i="8" s="1"/>
  <c r="D72" i="8"/>
  <c r="F72" i="8" s="1"/>
  <c r="M72" i="8" s="1"/>
  <c r="D73" i="8"/>
  <c r="F73" i="8" s="1"/>
  <c r="D74" i="8"/>
  <c r="F74" i="8" s="1"/>
  <c r="M74" i="8" s="1"/>
  <c r="D75" i="8"/>
  <c r="F75" i="8" s="1"/>
  <c r="M75" i="8" s="1"/>
  <c r="D76" i="8"/>
  <c r="F76" i="8" s="1"/>
  <c r="M76" i="8" s="1"/>
  <c r="D77" i="8"/>
  <c r="F77" i="8" s="1"/>
  <c r="D78" i="8"/>
  <c r="F78" i="8" s="1"/>
  <c r="M78" i="8" s="1"/>
  <c r="D79" i="8"/>
  <c r="F79" i="8" s="1"/>
  <c r="M79" i="8" s="1"/>
  <c r="D80" i="8"/>
  <c r="F80" i="8" s="1"/>
  <c r="M80" i="8" s="1"/>
  <c r="D81" i="8"/>
  <c r="F81" i="8" s="1"/>
  <c r="M81" i="8" s="1"/>
  <c r="D82" i="8"/>
  <c r="F82" i="8" s="1"/>
  <c r="M82" i="8" s="1"/>
  <c r="D83" i="8"/>
  <c r="F83" i="8" s="1"/>
  <c r="M83" i="8" s="1"/>
  <c r="D84" i="8"/>
  <c r="F84" i="8" s="1"/>
  <c r="M84" i="8" s="1"/>
  <c r="D85" i="8"/>
  <c r="F85" i="8" s="1"/>
  <c r="D86" i="8"/>
  <c r="F86" i="8" s="1"/>
  <c r="D87" i="8"/>
  <c r="F87" i="8" s="1"/>
  <c r="M87" i="8" s="1"/>
  <c r="D88" i="8"/>
  <c r="F88" i="8" s="1"/>
  <c r="M88" i="8" s="1"/>
  <c r="D89" i="8"/>
  <c r="F89" i="8" s="1"/>
  <c r="M89" i="8" s="1"/>
  <c r="D90" i="8"/>
  <c r="F90" i="8" s="1"/>
  <c r="D91" i="8"/>
  <c r="F91" i="8" s="1"/>
  <c r="M91" i="8" s="1"/>
  <c r="D92" i="8"/>
  <c r="F92" i="8" s="1"/>
  <c r="M92" i="8" s="1"/>
  <c r="D93" i="8"/>
  <c r="F93" i="8" s="1"/>
  <c r="M93" i="8" s="1"/>
  <c r="D94" i="8"/>
  <c r="F94" i="8" s="1"/>
  <c r="M94" i="8" s="1"/>
  <c r="D95" i="8"/>
  <c r="F95" i="8" s="1"/>
  <c r="M95" i="8" s="1"/>
  <c r="D96" i="8"/>
  <c r="F96" i="8" s="1"/>
  <c r="M96" i="8" s="1"/>
  <c r="D97" i="8"/>
  <c r="F97" i="8" s="1"/>
  <c r="D98" i="8"/>
  <c r="F98" i="8" s="1"/>
  <c r="M98" i="8" s="1"/>
  <c r="D99" i="8"/>
  <c r="F99" i="8" s="1"/>
  <c r="M99" i="8" s="1"/>
  <c r="D100" i="8"/>
  <c r="F100" i="8" s="1"/>
  <c r="M100" i="8" s="1"/>
  <c r="D101" i="8"/>
  <c r="F101" i="8" s="1"/>
  <c r="M101" i="8" s="1"/>
  <c r="D102" i="8"/>
  <c r="F102" i="8" s="1"/>
  <c r="M102" i="8" s="1"/>
  <c r="D103" i="8"/>
  <c r="F103" i="8" s="1"/>
  <c r="M103" i="8" s="1"/>
  <c r="D104" i="8"/>
  <c r="F104" i="8" s="1"/>
  <c r="D105" i="8"/>
  <c r="F105" i="8" s="1"/>
  <c r="D106" i="8"/>
  <c r="F106" i="8" s="1"/>
  <c r="M106" i="8" s="1"/>
  <c r="D107" i="8"/>
  <c r="F107" i="8" s="1"/>
  <c r="M107" i="8" s="1"/>
  <c r="D108" i="8"/>
  <c r="F108" i="8" s="1"/>
  <c r="M108" i="8" s="1"/>
  <c r="D109" i="8"/>
  <c r="F109" i="8" s="1"/>
  <c r="M109" i="8" s="1"/>
  <c r="D110" i="8"/>
  <c r="F110" i="8" s="1"/>
  <c r="M110" i="8" s="1"/>
  <c r="D111" i="8"/>
  <c r="F111" i="8" s="1"/>
  <c r="M111" i="8" s="1"/>
  <c r="D112" i="8"/>
  <c r="F112" i="8" s="1"/>
  <c r="M112" i="8" s="1"/>
  <c r="D113" i="8"/>
  <c r="F113" i="8" s="1"/>
  <c r="D114" i="8"/>
  <c r="F114" i="8" s="1"/>
  <c r="M114" i="8" s="1"/>
  <c r="D115" i="8"/>
  <c r="F115" i="8" s="1"/>
  <c r="M115" i="8" s="1"/>
  <c r="D116" i="8"/>
  <c r="F116" i="8" s="1"/>
  <c r="M116" i="8" s="1"/>
  <c r="D9" i="8"/>
  <c r="F9" i="8" s="1"/>
  <c r="M9" i="8" s="1"/>
  <c r="G10" i="8"/>
  <c r="E10" i="8" s="1"/>
  <c r="J10" i="8" s="1"/>
  <c r="G11" i="8"/>
  <c r="G12" i="8"/>
  <c r="G13" i="8"/>
  <c r="E13" i="8" s="1"/>
  <c r="J13" i="8" s="1"/>
  <c r="G14" i="8"/>
  <c r="E14" i="8" s="1"/>
  <c r="J14" i="8" s="1"/>
  <c r="G15" i="8"/>
  <c r="G16" i="8"/>
  <c r="G17" i="8"/>
  <c r="G18" i="8"/>
  <c r="E18" i="8" s="1"/>
  <c r="J18" i="8" s="1"/>
  <c r="G19" i="8"/>
  <c r="E19" i="8" s="1"/>
  <c r="J19" i="8" s="1"/>
  <c r="G20" i="8"/>
  <c r="G21" i="8"/>
  <c r="G22" i="8"/>
  <c r="E22" i="8" s="1"/>
  <c r="J22" i="8" s="1"/>
  <c r="G23" i="8"/>
  <c r="E23" i="8" s="1"/>
  <c r="J23" i="8" s="1"/>
  <c r="G24" i="8"/>
  <c r="G25" i="8"/>
  <c r="G26" i="8"/>
  <c r="E26" i="8" s="1"/>
  <c r="J26" i="8" s="1"/>
  <c r="G27" i="8"/>
  <c r="G28" i="8"/>
  <c r="G29" i="8"/>
  <c r="E29" i="8" s="1"/>
  <c r="H29" i="8" s="1"/>
  <c r="G30" i="8"/>
  <c r="E30" i="8" s="1"/>
  <c r="J30" i="8" s="1"/>
  <c r="G31" i="8"/>
  <c r="E31" i="8" s="1"/>
  <c r="J31" i="8" s="1"/>
  <c r="G32" i="8"/>
  <c r="G33" i="8"/>
  <c r="E33" i="8" s="1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I35" i="8"/>
  <c r="I36" i="8"/>
  <c r="I39" i="8"/>
  <c r="I40" i="8"/>
  <c r="I43" i="8"/>
  <c r="I44" i="8"/>
  <c r="I47" i="8"/>
  <c r="I48" i="8"/>
  <c r="I51" i="8"/>
  <c r="I52" i="8"/>
  <c r="I55" i="8"/>
  <c r="I56" i="8"/>
  <c r="I59" i="8"/>
  <c r="I60" i="8"/>
  <c r="I63" i="8"/>
  <c r="I64" i="8"/>
  <c r="I67" i="8"/>
  <c r="I68" i="8"/>
  <c r="I71" i="8"/>
  <c r="I72" i="8"/>
  <c r="I75" i="8"/>
  <c r="I76" i="8"/>
  <c r="I79" i="8"/>
  <c r="I80" i="8"/>
  <c r="I83" i="8"/>
  <c r="I84" i="8"/>
  <c r="I87" i="8"/>
  <c r="I88" i="8"/>
  <c r="I91" i="8"/>
  <c r="I92" i="8"/>
  <c r="I95" i="8"/>
  <c r="I96" i="8"/>
  <c r="I99" i="8"/>
  <c r="I103" i="8"/>
  <c r="I104" i="8"/>
  <c r="I107" i="8"/>
  <c r="I108" i="8"/>
  <c r="I111" i="8"/>
  <c r="I112" i="8"/>
  <c r="I115" i="8"/>
  <c r="I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3" i="13"/>
  <c r="F11" i="13"/>
  <c r="F12" i="13"/>
  <c r="F10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C10" i="13"/>
  <c r="Q10" i="13" s="1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9" i="13"/>
  <c r="Q9" i="13" s="1"/>
  <c r="I5" i="13"/>
  <c r="I4" i="13"/>
  <c r="G116" i="13"/>
  <c r="G115" i="13"/>
  <c r="G114" i="13"/>
  <c r="G113" i="13"/>
  <c r="G112" i="13"/>
  <c r="G111" i="13"/>
  <c r="G110" i="13"/>
  <c r="G109" i="13"/>
  <c r="G108" i="13"/>
  <c r="G107" i="13"/>
  <c r="G106" i="13"/>
  <c r="G105" i="13"/>
  <c r="G104" i="13"/>
  <c r="G103" i="13"/>
  <c r="G102" i="13"/>
  <c r="G101" i="13"/>
  <c r="G100" i="13"/>
  <c r="G99" i="13"/>
  <c r="G98" i="13"/>
  <c r="G97" i="13"/>
  <c r="G96" i="13"/>
  <c r="G95" i="13"/>
  <c r="G94" i="13"/>
  <c r="G93" i="13"/>
  <c r="G92" i="13"/>
  <c r="G91" i="13"/>
  <c r="G90" i="13"/>
  <c r="G89" i="13"/>
  <c r="G88" i="13"/>
  <c r="G87" i="13"/>
  <c r="G86" i="13"/>
  <c r="G85" i="13"/>
  <c r="G84" i="13"/>
  <c r="G83" i="13"/>
  <c r="G82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8" i="13"/>
  <c r="G57" i="13"/>
  <c r="G56" i="13"/>
  <c r="G55" i="13"/>
  <c r="G54" i="13"/>
  <c r="G53" i="13"/>
  <c r="G52" i="13"/>
  <c r="G51" i="13"/>
  <c r="G50" i="13"/>
  <c r="G49" i="13"/>
  <c r="G48" i="13"/>
  <c r="G47" i="13"/>
  <c r="G46" i="13"/>
  <c r="G45" i="13"/>
  <c r="G44" i="13"/>
  <c r="G43" i="13"/>
  <c r="G42" i="13"/>
  <c r="G41" i="13"/>
  <c r="G40" i="13"/>
  <c r="G39" i="13"/>
  <c r="G38" i="13"/>
  <c r="G37" i="13"/>
  <c r="G36" i="13"/>
  <c r="G35" i="13"/>
  <c r="G34" i="13"/>
  <c r="D9" i="9" l="1"/>
  <c r="I9" i="9" s="1"/>
  <c r="H9" i="9" s="1"/>
  <c r="W9" i="9"/>
  <c r="E9" i="8"/>
  <c r="X10" i="8"/>
  <c r="L30" i="8"/>
  <c r="Q30" i="8"/>
  <c r="P30" i="8" s="1"/>
  <c r="O30" i="8"/>
  <c r="AD9" i="9"/>
  <c r="H10" i="12"/>
  <c r="J10" i="12"/>
  <c r="I10" i="12" s="1"/>
  <c r="H35" i="12"/>
  <c r="J35" i="12"/>
  <c r="I35" i="12" s="1"/>
  <c r="H19" i="12"/>
  <c r="L14" i="8"/>
  <c r="Q14" i="8" s="1"/>
  <c r="P14" i="8" s="1"/>
  <c r="O14" i="8"/>
  <c r="H30" i="12"/>
  <c r="H23" i="12"/>
  <c r="N29" i="8"/>
  <c r="N10" i="8"/>
  <c r="O18" i="8"/>
  <c r="AD8" i="9"/>
  <c r="J14" i="12"/>
  <c r="I14" i="12" s="1"/>
  <c r="H34" i="12"/>
  <c r="N22" i="8"/>
  <c r="Q18" i="8"/>
  <c r="P18" i="8" s="1"/>
  <c r="F14" i="8"/>
  <c r="X9" i="8" s="1"/>
  <c r="J18" i="12"/>
  <c r="I18" i="12" s="1"/>
  <c r="J11" i="12"/>
  <c r="I11" i="12" s="1"/>
  <c r="H31" i="10"/>
  <c r="N9" i="10"/>
  <c r="Q12" i="12"/>
  <c r="M12" i="11"/>
  <c r="E26" i="11"/>
  <c r="E18" i="11"/>
  <c r="E30" i="11"/>
  <c r="E23" i="11"/>
  <c r="I28" i="9"/>
  <c r="H28" i="9" s="1"/>
  <c r="D28" i="9"/>
  <c r="D16" i="9"/>
  <c r="I16" i="9" s="1"/>
  <c r="H16" i="9" s="1"/>
  <c r="I12" i="9"/>
  <c r="H12" i="9" s="1"/>
  <c r="G29" i="9"/>
  <c r="I32" i="9"/>
  <c r="H32" i="9" s="1"/>
  <c r="G31" i="9"/>
  <c r="G24" i="9"/>
  <c r="G25" i="9"/>
  <c r="G21" i="9"/>
  <c r="I24" i="9"/>
  <c r="H24" i="9" s="1"/>
  <c r="G28" i="9"/>
  <c r="I8" i="9"/>
  <c r="H8" i="9" s="1"/>
  <c r="G9" i="9"/>
  <c r="T8" i="9" s="1"/>
  <c r="G13" i="9"/>
  <c r="G17" i="9"/>
  <c r="G20" i="9"/>
  <c r="I30" i="9"/>
  <c r="H30" i="9" s="1"/>
  <c r="I14" i="9"/>
  <c r="H14" i="9" s="1"/>
  <c r="G14" i="9"/>
  <c r="G10" i="9"/>
  <c r="I10" i="9"/>
  <c r="H10" i="9" s="1"/>
  <c r="G26" i="9"/>
  <c r="I26" i="9"/>
  <c r="H26" i="9" s="1"/>
  <c r="I18" i="9"/>
  <c r="H18" i="9" s="1"/>
  <c r="G18" i="9"/>
  <c r="I22" i="9"/>
  <c r="H22" i="9" s="1"/>
  <c r="G22" i="9"/>
  <c r="M1" i="9"/>
  <c r="I13" i="9"/>
  <c r="H13" i="9" s="1"/>
  <c r="I17" i="9"/>
  <c r="H17" i="9" s="1"/>
  <c r="I21" i="9"/>
  <c r="H21" i="9" s="1"/>
  <c r="I25" i="9"/>
  <c r="H25" i="9" s="1"/>
  <c r="I11" i="9"/>
  <c r="H11" i="9" s="1"/>
  <c r="I15" i="9"/>
  <c r="H15" i="9" s="1"/>
  <c r="I19" i="9"/>
  <c r="H19" i="9" s="1"/>
  <c r="I23" i="9"/>
  <c r="H23" i="9" s="1"/>
  <c r="I27" i="9"/>
  <c r="H27" i="9" s="1"/>
  <c r="H27" i="10"/>
  <c r="J18" i="10"/>
  <c r="I18" i="10" s="1"/>
  <c r="J14" i="10"/>
  <c r="I14" i="10" s="1"/>
  <c r="X10" i="10"/>
  <c r="N18" i="10"/>
  <c r="L18" i="10" s="1"/>
  <c r="Q18" i="10" s="1"/>
  <c r="P18" i="10" s="1"/>
  <c r="E9" i="10"/>
  <c r="J9" i="10" s="1"/>
  <c r="I9" i="10" s="1"/>
  <c r="J22" i="10"/>
  <c r="I22" i="10" s="1"/>
  <c r="N17" i="10"/>
  <c r="L17" i="10" s="1"/>
  <c r="Q17" i="10" s="1"/>
  <c r="P17" i="10" s="1"/>
  <c r="L12" i="10"/>
  <c r="Q12" i="10" s="1"/>
  <c r="P12" i="10" s="1"/>
  <c r="J11" i="10"/>
  <c r="I11" i="10" s="1"/>
  <c r="AE10" i="10"/>
  <c r="AE9" i="10"/>
  <c r="N11" i="10"/>
  <c r="J12" i="10"/>
  <c r="I12" i="10" s="1"/>
  <c r="J13" i="10"/>
  <c r="I13" i="10" s="1"/>
  <c r="E15" i="10"/>
  <c r="H15" i="10" s="1"/>
  <c r="E16" i="10"/>
  <c r="J16" i="10" s="1"/>
  <c r="I16" i="10" s="1"/>
  <c r="J21" i="10"/>
  <c r="I21" i="10" s="1"/>
  <c r="E23" i="10"/>
  <c r="H23" i="10" s="1"/>
  <c r="E24" i="10"/>
  <c r="J24" i="10" s="1"/>
  <c r="I24" i="10" s="1"/>
  <c r="H33" i="10"/>
  <c r="J33" i="10"/>
  <c r="I33" i="10" s="1"/>
  <c r="N29" i="10"/>
  <c r="N33" i="10"/>
  <c r="N32" i="10"/>
  <c r="N28" i="10"/>
  <c r="N24" i="10"/>
  <c r="N20" i="10"/>
  <c r="N16" i="10"/>
  <c r="N26" i="10"/>
  <c r="N31" i="10"/>
  <c r="N27" i="10"/>
  <c r="N23" i="10"/>
  <c r="N19" i="10"/>
  <c r="N15" i="10"/>
  <c r="N30" i="10"/>
  <c r="J10" i="10"/>
  <c r="I10" i="10" s="1"/>
  <c r="N13" i="10"/>
  <c r="N14" i="10"/>
  <c r="N21" i="10"/>
  <c r="N22" i="10"/>
  <c r="H25" i="10"/>
  <c r="J25" i="10"/>
  <c r="I25" i="10" s="1"/>
  <c r="N25" i="10"/>
  <c r="X9" i="10"/>
  <c r="N10" i="10"/>
  <c r="J17" i="10"/>
  <c r="I17" i="10" s="1"/>
  <c r="E19" i="10"/>
  <c r="H19" i="10" s="1"/>
  <c r="E20" i="10"/>
  <c r="J20" i="10" s="1"/>
  <c r="I20" i="10" s="1"/>
  <c r="H29" i="10"/>
  <c r="J29" i="10"/>
  <c r="I29" i="10" s="1"/>
  <c r="J26" i="10"/>
  <c r="I26" i="10" s="1"/>
  <c r="J30" i="10"/>
  <c r="I30" i="10" s="1"/>
  <c r="E28" i="10"/>
  <c r="J28" i="10" s="1"/>
  <c r="I28" i="10" s="1"/>
  <c r="E32" i="10"/>
  <c r="J32" i="10" s="1"/>
  <c r="I32" i="10" s="1"/>
  <c r="N26" i="8"/>
  <c r="L21" i="8"/>
  <c r="Q21" i="8" s="1"/>
  <c r="P21" i="8" s="1"/>
  <c r="N11" i="8"/>
  <c r="N15" i="8"/>
  <c r="N19" i="8"/>
  <c r="N23" i="8"/>
  <c r="N27" i="8"/>
  <c r="N31" i="8"/>
  <c r="N9" i="8"/>
  <c r="N12" i="8"/>
  <c r="N16" i="8"/>
  <c r="N20" i="8"/>
  <c r="N24" i="8"/>
  <c r="N28" i="8"/>
  <c r="N32" i="8"/>
  <c r="N13" i="8"/>
  <c r="N33" i="8"/>
  <c r="N25" i="8"/>
  <c r="N17" i="8"/>
  <c r="L29" i="8"/>
  <c r="H9" i="8"/>
  <c r="U9" i="8" s="1"/>
  <c r="J33" i="8"/>
  <c r="I33" i="8" s="1"/>
  <c r="E21" i="8"/>
  <c r="H21" i="8" s="1"/>
  <c r="H33" i="8"/>
  <c r="E25" i="8"/>
  <c r="H25" i="8" s="1"/>
  <c r="E17" i="8"/>
  <c r="J17" i="8" s="1"/>
  <c r="I17" i="8" s="1"/>
  <c r="J21" i="8"/>
  <c r="H13" i="8"/>
  <c r="J9" i="8"/>
  <c r="I9" i="8" s="1"/>
  <c r="J29" i="8"/>
  <c r="I29" i="8" s="1"/>
  <c r="H31" i="8"/>
  <c r="H23" i="8"/>
  <c r="H19" i="8"/>
  <c r="H30" i="8"/>
  <c r="H26" i="8"/>
  <c r="H22" i="8"/>
  <c r="H18" i="8"/>
  <c r="H14" i="8"/>
  <c r="H10" i="8"/>
  <c r="E32" i="8"/>
  <c r="E28" i="8"/>
  <c r="E24" i="8"/>
  <c r="E20" i="8"/>
  <c r="E16" i="8"/>
  <c r="E12" i="8"/>
  <c r="I31" i="8"/>
  <c r="E27" i="8"/>
  <c r="E15" i="8"/>
  <c r="E11" i="8"/>
  <c r="I30" i="8"/>
  <c r="I21" i="8"/>
  <c r="I13" i="8"/>
  <c r="G9" i="13"/>
  <c r="G33" i="13"/>
  <c r="I33" i="13" s="1"/>
  <c r="G32" i="13"/>
  <c r="H32" i="13" s="1"/>
  <c r="G31" i="13"/>
  <c r="H31" i="13" s="1"/>
  <c r="G30" i="13"/>
  <c r="I30" i="13" s="1"/>
  <c r="G29" i="13"/>
  <c r="I29" i="13" s="1"/>
  <c r="G27" i="13"/>
  <c r="H27" i="13" s="1"/>
  <c r="G28" i="13"/>
  <c r="H28" i="13" s="1"/>
  <c r="G26" i="13"/>
  <c r="I26" i="13" s="1"/>
  <c r="G25" i="13"/>
  <c r="I25" i="13" s="1"/>
  <c r="G24" i="13"/>
  <c r="H24" i="13" s="1"/>
  <c r="G23" i="13"/>
  <c r="H23" i="13" s="1"/>
  <c r="G22" i="13"/>
  <c r="H22" i="13" s="1"/>
  <c r="G21" i="13"/>
  <c r="I21" i="13" s="1"/>
  <c r="G20" i="13"/>
  <c r="H20" i="13" s="1"/>
  <c r="G19" i="13"/>
  <c r="H19" i="13" s="1"/>
  <c r="G12" i="13"/>
  <c r="H12" i="13" s="1"/>
  <c r="G18" i="13"/>
  <c r="H18" i="13" s="1"/>
  <c r="G13" i="13"/>
  <c r="H13" i="13" s="1"/>
  <c r="G14" i="13"/>
  <c r="I14" i="13" s="1"/>
  <c r="G15" i="13"/>
  <c r="H15" i="13" s="1"/>
  <c r="G16" i="13"/>
  <c r="H16" i="13" s="1"/>
  <c r="G17" i="13"/>
  <c r="I17" i="13" s="1"/>
  <c r="G10" i="13"/>
  <c r="I10" i="13" s="1"/>
  <c r="G11" i="13"/>
  <c r="H11" i="13" s="1"/>
  <c r="AA9" i="7"/>
  <c r="AA9" i="1"/>
  <c r="AC47" i="1"/>
  <c r="AD47" i="1"/>
  <c r="Q28" i="8" l="1"/>
  <c r="P28" i="8" s="1"/>
  <c r="O28" i="8"/>
  <c r="L23" i="8"/>
  <c r="O23" i="8" s="1"/>
  <c r="Q23" i="8"/>
  <c r="P23" i="8" s="1"/>
  <c r="M9" i="9"/>
  <c r="K9" i="9" s="1"/>
  <c r="M13" i="9"/>
  <c r="K13" i="9" s="1"/>
  <c r="M17" i="9"/>
  <c r="M21" i="9"/>
  <c r="M25" i="9"/>
  <c r="M29" i="9"/>
  <c r="M8" i="9"/>
  <c r="M10" i="9"/>
  <c r="K10" i="9" s="1"/>
  <c r="M14" i="9"/>
  <c r="K14" i="9" s="1"/>
  <c r="M18" i="9"/>
  <c r="K18" i="9" s="1"/>
  <c r="M22" i="9"/>
  <c r="K22" i="9" s="1"/>
  <c r="M26" i="9"/>
  <c r="K26" i="9" s="1"/>
  <c r="M30" i="9"/>
  <c r="K30" i="9" s="1"/>
  <c r="N30" i="9" s="1"/>
  <c r="M11" i="9"/>
  <c r="K11" i="9" s="1"/>
  <c r="M15" i="9"/>
  <c r="K15" i="9" s="1"/>
  <c r="M19" i="9"/>
  <c r="K19" i="9" s="1"/>
  <c r="M23" i="9"/>
  <c r="K23" i="9" s="1"/>
  <c r="M27" i="9"/>
  <c r="K27" i="9" s="1"/>
  <c r="M31" i="9"/>
  <c r="K31" i="9" s="1"/>
  <c r="N31" i="9" s="1"/>
  <c r="M16" i="9"/>
  <c r="K16" i="9" s="1"/>
  <c r="M32" i="9"/>
  <c r="M20" i="9"/>
  <c r="K20" i="9" s="1"/>
  <c r="M12" i="9"/>
  <c r="K12" i="9" s="1"/>
  <c r="M28" i="9"/>
  <c r="M24" i="9"/>
  <c r="O33" i="8"/>
  <c r="Q33" i="8"/>
  <c r="P33" i="8" s="1"/>
  <c r="L9" i="8"/>
  <c r="AE9" i="8"/>
  <c r="L19" i="8"/>
  <c r="O19" i="8" s="1"/>
  <c r="Q19" i="8"/>
  <c r="P19" i="8" s="1"/>
  <c r="L26" i="8"/>
  <c r="Q26" i="8"/>
  <c r="P26" i="8" s="1"/>
  <c r="O26" i="8"/>
  <c r="L10" i="8"/>
  <c r="AE10" i="8"/>
  <c r="Q10" i="8"/>
  <c r="P10" i="8" s="1"/>
  <c r="O10" i="8"/>
  <c r="L22" i="8"/>
  <c r="Q22" i="8"/>
  <c r="P22" i="8" s="1"/>
  <c r="O22" i="8"/>
  <c r="L13" i="8"/>
  <c r="O13" i="8" s="1"/>
  <c r="L31" i="8"/>
  <c r="Q31" i="8"/>
  <c r="P31" i="8" s="1"/>
  <c r="O31" i="8"/>
  <c r="L15" i="8"/>
  <c r="Q15" i="8" s="1"/>
  <c r="P15" i="8" s="1"/>
  <c r="O29" i="8"/>
  <c r="Q29" i="8"/>
  <c r="P29" i="8" s="1"/>
  <c r="Q17" i="8"/>
  <c r="P17" i="8" s="1"/>
  <c r="Q32" i="8"/>
  <c r="P32" i="8" s="1"/>
  <c r="O32" i="8"/>
  <c r="L27" i="8"/>
  <c r="O27" i="8" s="1"/>
  <c r="Q27" i="8"/>
  <c r="P27" i="8" s="1"/>
  <c r="L11" i="8"/>
  <c r="Q11" i="8"/>
  <c r="P11" i="8" s="1"/>
  <c r="O11" i="8"/>
  <c r="M14" i="8"/>
  <c r="O21" i="8"/>
  <c r="L9" i="10"/>
  <c r="O9" i="10"/>
  <c r="AB9" i="10" s="1"/>
  <c r="H9" i="10"/>
  <c r="I9" i="13"/>
  <c r="D9" i="13"/>
  <c r="N9" i="13" s="1"/>
  <c r="N13" i="9"/>
  <c r="G16" i="9"/>
  <c r="G12" i="9"/>
  <c r="G32" i="9"/>
  <c r="G23" i="9"/>
  <c r="G11" i="9"/>
  <c r="K32" i="9"/>
  <c r="P32" i="9" s="1"/>
  <c r="O32" i="9" s="1"/>
  <c r="G27" i="9"/>
  <c r="G15" i="9"/>
  <c r="I20" i="9"/>
  <c r="H20" i="9" s="1"/>
  <c r="K29" i="9"/>
  <c r="N29" i="9" s="1"/>
  <c r="W11" i="9"/>
  <c r="G30" i="9"/>
  <c r="P30" i="9"/>
  <c r="O30" i="9" s="1"/>
  <c r="N12" i="9"/>
  <c r="N23" i="9"/>
  <c r="P23" i="9"/>
  <c r="O23" i="9" s="1"/>
  <c r="G19" i="9"/>
  <c r="N11" i="9"/>
  <c r="P26" i="9"/>
  <c r="O26" i="9" s="1"/>
  <c r="N26" i="9"/>
  <c r="N22" i="9"/>
  <c r="P18" i="9"/>
  <c r="O18" i="9" s="1"/>
  <c r="N14" i="9"/>
  <c r="N10" i="9"/>
  <c r="P10" i="9"/>
  <c r="O10" i="9" s="1"/>
  <c r="P13" i="9"/>
  <c r="O13" i="9" s="1"/>
  <c r="N27" i="9"/>
  <c r="N20" i="9"/>
  <c r="N15" i="9"/>
  <c r="P9" i="9"/>
  <c r="O9" i="9" s="1"/>
  <c r="N9" i="9"/>
  <c r="AA8" i="9" s="1"/>
  <c r="P16" i="9"/>
  <c r="O16" i="9" s="1"/>
  <c r="N16" i="9"/>
  <c r="N19" i="9"/>
  <c r="P19" i="9"/>
  <c r="O19" i="9" s="1"/>
  <c r="H16" i="10"/>
  <c r="X12" i="10"/>
  <c r="AE12" i="10"/>
  <c r="O12" i="10"/>
  <c r="U9" i="10"/>
  <c r="O18" i="10"/>
  <c r="H32" i="10"/>
  <c r="O17" i="10"/>
  <c r="L10" i="10"/>
  <c r="Q10" i="10" s="1"/>
  <c r="P10" i="10" s="1"/>
  <c r="L25" i="10"/>
  <c r="O25" i="10" s="1"/>
  <c r="L21" i="10"/>
  <c r="O21" i="10" s="1"/>
  <c r="L19" i="10"/>
  <c r="O19" i="10" s="1"/>
  <c r="L26" i="10"/>
  <c r="Q26" i="10" s="1"/>
  <c r="P26" i="10" s="1"/>
  <c r="L24" i="10"/>
  <c r="Q24" i="10" s="1"/>
  <c r="P24" i="10" s="1"/>
  <c r="L29" i="10"/>
  <c r="O29" i="10" s="1"/>
  <c r="L11" i="10"/>
  <c r="Q11" i="10" s="1"/>
  <c r="P11" i="10" s="1"/>
  <c r="L14" i="10"/>
  <c r="O14" i="10" s="1"/>
  <c r="J19" i="10"/>
  <c r="I19" i="10" s="1"/>
  <c r="L13" i="10"/>
  <c r="Q13" i="10" s="1"/>
  <c r="P13" i="10" s="1"/>
  <c r="L16" i="10"/>
  <c r="O16" i="10" s="1"/>
  <c r="J23" i="10"/>
  <c r="I23" i="10" s="1"/>
  <c r="L23" i="10"/>
  <c r="Q23" i="10" s="1"/>
  <c r="P23" i="10" s="1"/>
  <c r="L28" i="10"/>
  <c r="O28" i="10" s="1"/>
  <c r="J15" i="10"/>
  <c r="I15" i="10" s="1"/>
  <c r="L30" i="10"/>
  <c r="Q30" i="10" s="1"/>
  <c r="P30" i="10" s="1"/>
  <c r="L27" i="10"/>
  <c r="O27" i="10" s="1"/>
  <c r="L32" i="10"/>
  <c r="Q32" i="10" s="1"/>
  <c r="P32" i="10" s="1"/>
  <c r="H28" i="10"/>
  <c r="H20" i="10"/>
  <c r="L22" i="10"/>
  <c r="O22" i="10" s="1"/>
  <c r="L15" i="10"/>
  <c r="O15" i="10" s="1"/>
  <c r="L31" i="10"/>
  <c r="O31" i="10" s="1"/>
  <c r="L20" i="10"/>
  <c r="Q20" i="10" s="1"/>
  <c r="P20" i="10" s="1"/>
  <c r="L33" i="10"/>
  <c r="O33" i="10" s="1"/>
  <c r="H24" i="10"/>
  <c r="L17" i="8"/>
  <c r="O17" i="8" s="1"/>
  <c r="L32" i="8"/>
  <c r="L16" i="8"/>
  <c r="Q16" i="8" s="1"/>
  <c r="P16" i="8" s="1"/>
  <c r="H17" i="8"/>
  <c r="L25" i="8"/>
  <c r="O25" i="8" s="1"/>
  <c r="L28" i="8"/>
  <c r="L12" i="8"/>
  <c r="Q12" i="8" s="1"/>
  <c r="P12" i="8" s="1"/>
  <c r="L20" i="8"/>
  <c r="Q20" i="8" s="1"/>
  <c r="P20" i="8" s="1"/>
  <c r="L33" i="8"/>
  <c r="L24" i="8"/>
  <c r="Q24" i="8" s="1"/>
  <c r="P24" i="8" s="1"/>
  <c r="J25" i="8"/>
  <c r="I25" i="8" s="1"/>
  <c r="J15" i="8"/>
  <c r="I15" i="8" s="1"/>
  <c r="H15" i="8"/>
  <c r="J24" i="8"/>
  <c r="I24" i="8" s="1"/>
  <c r="H24" i="8"/>
  <c r="J27" i="8"/>
  <c r="I27" i="8" s="1"/>
  <c r="H27" i="8"/>
  <c r="J12" i="8"/>
  <c r="I12" i="8" s="1"/>
  <c r="H12" i="8"/>
  <c r="J28" i="8"/>
  <c r="I28" i="8" s="1"/>
  <c r="H28" i="8"/>
  <c r="J16" i="8"/>
  <c r="I16" i="8" s="1"/>
  <c r="H16" i="8"/>
  <c r="J32" i="8"/>
  <c r="I32" i="8" s="1"/>
  <c r="H32" i="8"/>
  <c r="J11" i="8"/>
  <c r="I11" i="8" s="1"/>
  <c r="H11" i="8"/>
  <c r="J20" i="8"/>
  <c r="I20" i="8" s="1"/>
  <c r="H20" i="8"/>
  <c r="I22" i="8"/>
  <c r="I10" i="8"/>
  <c r="I26" i="8"/>
  <c r="I14" i="8"/>
  <c r="I19" i="8"/>
  <c r="I18" i="8"/>
  <c r="I23" i="8"/>
  <c r="I19" i="13"/>
  <c r="H29" i="13"/>
  <c r="I18" i="13"/>
  <c r="H26" i="13"/>
  <c r="I22" i="13"/>
  <c r="H17" i="13"/>
  <c r="H33" i="13"/>
  <c r="I23" i="13"/>
  <c r="H14" i="13"/>
  <c r="H30" i="13"/>
  <c r="I24" i="13"/>
  <c r="H10" i="13"/>
  <c r="I20" i="13"/>
  <c r="I13" i="13"/>
  <c r="E9" i="13"/>
  <c r="N10" i="13" s="1"/>
  <c r="H9" i="13"/>
  <c r="U9" i="13" s="1"/>
  <c r="H21" i="13"/>
  <c r="I11" i="13"/>
  <c r="I27" i="13"/>
  <c r="I12" i="13"/>
  <c r="I28" i="13"/>
  <c r="H25" i="13"/>
  <c r="I15" i="13"/>
  <c r="I31" i="13"/>
  <c r="I16" i="13"/>
  <c r="I32" i="13"/>
  <c r="D16" i="13"/>
  <c r="E16" i="13"/>
  <c r="E21" i="13"/>
  <c r="D21" i="13"/>
  <c r="E29" i="13"/>
  <c r="D29" i="13"/>
  <c r="D11" i="13"/>
  <c r="E11" i="13"/>
  <c r="E12" i="13"/>
  <c r="D12" i="13"/>
  <c r="D14" i="13"/>
  <c r="E14" i="13"/>
  <c r="D18" i="13"/>
  <c r="E18" i="13"/>
  <c r="E25" i="13"/>
  <c r="D25" i="13"/>
  <c r="E33" i="13"/>
  <c r="D33" i="13"/>
  <c r="D15" i="13"/>
  <c r="E15" i="13"/>
  <c r="D22" i="13"/>
  <c r="E22" i="13"/>
  <c r="D26" i="13"/>
  <c r="E26" i="13"/>
  <c r="D30" i="13"/>
  <c r="E30" i="13"/>
  <c r="D10" i="13"/>
  <c r="E10" i="13"/>
  <c r="D19" i="13"/>
  <c r="E19" i="13"/>
  <c r="D23" i="13"/>
  <c r="E23" i="13"/>
  <c r="D28" i="13"/>
  <c r="E28" i="13"/>
  <c r="D31" i="13"/>
  <c r="E31" i="13"/>
  <c r="E17" i="13"/>
  <c r="D17" i="13"/>
  <c r="E13" i="13"/>
  <c r="D13" i="13"/>
  <c r="D20" i="13"/>
  <c r="E20" i="13"/>
  <c r="D24" i="13"/>
  <c r="E24" i="13"/>
  <c r="D27" i="13"/>
  <c r="E27" i="13"/>
  <c r="D32" i="13"/>
  <c r="E32" i="13"/>
  <c r="U10" i="13"/>
  <c r="X9" i="13"/>
  <c r="X10" i="13"/>
  <c r="AH34" i="7"/>
  <c r="AH35" i="7"/>
  <c r="AH36" i="7"/>
  <c r="AH37" i="7"/>
  <c r="AH38" i="7"/>
  <c r="AH39" i="7"/>
  <c r="AH40" i="7"/>
  <c r="AH41" i="7"/>
  <c r="AH42" i="7"/>
  <c r="AH43" i="7"/>
  <c r="AH44" i="7"/>
  <c r="AH45" i="7"/>
  <c r="AH46" i="7"/>
  <c r="AH47" i="7"/>
  <c r="AH48" i="7"/>
  <c r="AH49" i="7"/>
  <c r="AH50" i="7"/>
  <c r="AH51" i="7"/>
  <c r="AH52" i="7"/>
  <c r="AH53" i="7"/>
  <c r="AH54" i="7"/>
  <c r="AH55" i="7"/>
  <c r="AH56" i="7"/>
  <c r="AH57" i="7"/>
  <c r="AH58" i="7"/>
  <c r="AH59" i="7"/>
  <c r="AH60" i="7"/>
  <c r="AH61" i="7"/>
  <c r="AH62" i="7"/>
  <c r="AH63" i="7"/>
  <c r="AH64" i="7"/>
  <c r="AH65" i="7"/>
  <c r="AH66" i="7"/>
  <c r="AH67" i="7"/>
  <c r="AH68" i="7"/>
  <c r="AH69" i="7"/>
  <c r="AH70" i="7"/>
  <c r="AH71" i="7"/>
  <c r="AH72" i="7"/>
  <c r="AH73" i="7"/>
  <c r="AH74" i="7"/>
  <c r="AH75" i="7"/>
  <c r="AH76" i="7"/>
  <c r="AH77" i="7"/>
  <c r="AH78" i="7"/>
  <c r="AH79" i="7"/>
  <c r="AH80" i="7"/>
  <c r="AH81" i="7"/>
  <c r="AH82" i="7"/>
  <c r="AH83" i="7"/>
  <c r="AH84" i="7"/>
  <c r="AH85" i="7"/>
  <c r="AH86" i="7"/>
  <c r="AH87" i="7"/>
  <c r="AH88" i="7"/>
  <c r="AH89" i="7"/>
  <c r="AH90" i="7"/>
  <c r="AH91" i="7"/>
  <c r="AH92" i="7"/>
  <c r="AH93" i="7"/>
  <c r="AH94" i="7"/>
  <c r="AH95" i="7"/>
  <c r="AH96" i="7"/>
  <c r="AH97" i="7"/>
  <c r="AH98" i="7"/>
  <c r="AH99" i="7"/>
  <c r="AH100" i="7"/>
  <c r="AH101" i="7"/>
  <c r="AH102" i="7"/>
  <c r="AH103" i="7"/>
  <c r="AH104" i="7"/>
  <c r="AH105" i="7"/>
  <c r="AH106" i="7"/>
  <c r="AH107" i="7"/>
  <c r="AH108" i="7"/>
  <c r="AH109" i="7"/>
  <c r="AH110" i="7"/>
  <c r="AH111" i="7"/>
  <c r="AH112" i="7"/>
  <c r="AH113" i="7"/>
  <c r="AH114" i="7"/>
  <c r="AH115" i="7"/>
  <c r="AH116" i="7"/>
  <c r="AG34" i="7"/>
  <c r="AG35" i="7"/>
  <c r="AG36" i="7"/>
  <c r="AG37" i="7"/>
  <c r="AG38" i="7"/>
  <c r="AG39" i="7"/>
  <c r="AG40" i="7"/>
  <c r="AG41" i="7"/>
  <c r="AG42" i="7"/>
  <c r="AG43" i="7"/>
  <c r="AG44" i="7"/>
  <c r="AG45" i="7"/>
  <c r="AG46" i="7"/>
  <c r="AG47" i="7"/>
  <c r="AG48" i="7"/>
  <c r="AG49" i="7"/>
  <c r="AG50" i="7"/>
  <c r="AG51" i="7"/>
  <c r="AG52" i="7"/>
  <c r="AG53" i="7"/>
  <c r="AG54" i="7"/>
  <c r="AG55" i="7"/>
  <c r="AG56" i="7"/>
  <c r="AG57" i="7"/>
  <c r="AG58" i="7"/>
  <c r="AG59" i="7"/>
  <c r="AG60" i="7"/>
  <c r="AG61" i="7"/>
  <c r="AG62" i="7"/>
  <c r="AG63" i="7"/>
  <c r="AG64" i="7"/>
  <c r="AG65" i="7"/>
  <c r="AG66" i="7"/>
  <c r="AG67" i="7"/>
  <c r="AG68" i="7"/>
  <c r="AG69" i="7"/>
  <c r="AG70" i="7"/>
  <c r="AG71" i="7"/>
  <c r="AG72" i="7"/>
  <c r="AG73" i="7"/>
  <c r="AG74" i="7"/>
  <c r="AG75" i="7"/>
  <c r="AG76" i="7"/>
  <c r="AG77" i="7"/>
  <c r="AG78" i="7"/>
  <c r="AG79" i="7"/>
  <c r="AG80" i="7"/>
  <c r="AG81" i="7"/>
  <c r="AG82" i="7"/>
  <c r="AG83" i="7"/>
  <c r="AG84" i="7"/>
  <c r="AG85" i="7"/>
  <c r="AG86" i="7"/>
  <c r="AG87" i="7"/>
  <c r="AG88" i="7"/>
  <c r="AG89" i="7"/>
  <c r="AG90" i="7"/>
  <c r="AG91" i="7"/>
  <c r="AG92" i="7"/>
  <c r="AG93" i="7"/>
  <c r="AG94" i="7"/>
  <c r="AG95" i="7"/>
  <c r="AG96" i="7"/>
  <c r="AG97" i="7"/>
  <c r="AG98" i="7"/>
  <c r="AG99" i="7"/>
  <c r="AG100" i="7"/>
  <c r="AG101" i="7"/>
  <c r="AG102" i="7"/>
  <c r="AG103" i="7"/>
  <c r="AG104" i="7"/>
  <c r="AG105" i="7"/>
  <c r="AG106" i="7"/>
  <c r="AG107" i="7"/>
  <c r="AG108" i="7"/>
  <c r="AG109" i="7"/>
  <c r="AG110" i="7"/>
  <c r="AG111" i="7"/>
  <c r="AG112" i="7"/>
  <c r="AG113" i="7"/>
  <c r="AG114" i="7"/>
  <c r="AG115" i="7"/>
  <c r="AG116" i="7"/>
  <c r="AL9" i="7"/>
  <c r="AL10" i="7"/>
  <c r="AL11" i="7"/>
  <c r="AL12" i="7"/>
  <c r="AL13" i="7"/>
  <c r="AL14" i="7"/>
  <c r="AL15" i="7"/>
  <c r="AL16" i="7"/>
  <c r="AL17" i="7"/>
  <c r="AL18" i="7"/>
  <c r="AL19" i="7"/>
  <c r="AL20" i="7"/>
  <c r="AL21" i="7"/>
  <c r="AL22" i="7"/>
  <c r="AL23" i="7"/>
  <c r="AL24" i="7"/>
  <c r="AL25" i="7"/>
  <c r="AL26" i="7"/>
  <c r="AL27" i="7"/>
  <c r="AL28" i="7"/>
  <c r="AL29" i="7"/>
  <c r="AL30" i="7"/>
  <c r="AL31" i="7"/>
  <c r="AL32" i="7"/>
  <c r="AL33" i="7"/>
  <c r="AL34" i="7"/>
  <c r="AL35" i="7"/>
  <c r="AL36" i="7"/>
  <c r="AL37" i="7"/>
  <c r="AL38" i="7"/>
  <c r="AL39" i="7"/>
  <c r="AL40" i="7"/>
  <c r="AL41" i="7"/>
  <c r="AL42" i="7"/>
  <c r="AL43" i="7"/>
  <c r="AL44" i="7"/>
  <c r="AL45" i="7"/>
  <c r="AL46" i="7"/>
  <c r="AL47" i="7"/>
  <c r="AL48" i="7"/>
  <c r="AL49" i="7"/>
  <c r="AL50" i="7"/>
  <c r="AL51" i="7"/>
  <c r="AL52" i="7"/>
  <c r="AL53" i="7"/>
  <c r="AL54" i="7"/>
  <c r="AL55" i="7"/>
  <c r="AL56" i="7"/>
  <c r="AL57" i="7"/>
  <c r="AL58" i="7"/>
  <c r="AL59" i="7"/>
  <c r="AL60" i="7"/>
  <c r="AL61" i="7"/>
  <c r="AL62" i="7"/>
  <c r="AL63" i="7"/>
  <c r="AL64" i="7"/>
  <c r="AL65" i="7"/>
  <c r="AL66" i="7"/>
  <c r="AL67" i="7"/>
  <c r="AL68" i="7"/>
  <c r="AL69" i="7"/>
  <c r="AL70" i="7"/>
  <c r="AL71" i="7"/>
  <c r="AL72" i="7"/>
  <c r="AL73" i="7"/>
  <c r="AL74" i="7"/>
  <c r="AL75" i="7"/>
  <c r="AL76" i="7"/>
  <c r="AL77" i="7"/>
  <c r="AL78" i="7"/>
  <c r="AL79" i="7"/>
  <c r="AL80" i="7"/>
  <c r="AL81" i="7"/>
  <c r="AL82" i="7"/>
  <c r="AL83" i="7"/>
  <c r="AL84" i="7"/>
  <c r="AL85" i="7"/>
  <c r="AL86" i="7"/>
  <c r="AL87" i="7"/>
  <c r="AL88" i="7"/>
  <c r="AL89" i="7"/>
  <c r="AL90" i="7"/>
  <c r="AL91" i="7"/>
  <c r="AL92" i="7"/>
  <c r="AL93" i="7"/>
  <c r="AL94" i="7"/>
  <c r="AL95" i="7"/>
  <c r="AL96" i="7"/>
  <c r="AL97" i="7"/>
  <c r="AL98" i="7"/>
  <c r="AL99" i="7"/>
  <c r="AL100" i="7"/>
  <c r="AL101" i="7"/>
  <c r="AL102" i="7"/>
  <c r="AL103" i="7"/>
  <c r="AL104" i="7"/>
  <c r="AL105" i="7"/>
  <c r="AL106" i="7"/>
  <c r="AL107" i="7"/>
  <c r="AL108" i="7"/>
  <c r="AL109" i="7"/>
  <c r="AL110" i="7"/>
  <c r="AL111" i="7"/>
  <c r="AL112" i="7"/>
  <c r="AL113" i="7"/>
  <c r="AL114" i="7"/>
  <c r="AL115" i="7"/>
  <c r="AL116" i="7"/>
  <c r="AM9" i="7"/>
  <c r="AM10" i="7"/>
  <c r="AM11" i="7"/>
  <c r="AM12" i="7"/>
  <c r="AM13" i="7"/>
  <c r="AM14" i="7"/>
  <c r="AM15" i="7"/>
  <c r="AM16" i="7"/>
  <c r="AM17" i="7"/>
  <c r="AM18" i="7"/>
  <c r="AM19" i="7"/>
  <c r="AM20" i="7"/>
  <c r="AM21" i="7"/>
  <c r="AM22" i="7"/>
  <c r="AM23" i="7"/>
  <c r="AM24" i="7"/>
  <c r="AM25" i="7"/>
  <c r="AM26" i="7"/>
  <c r="AM27" i="7"/>
  <c r="AM28" i="7"/>
  <c r="AM29" i="7"/>
  <c r="AM30" i="7"/>
  <c r="AM31" i="7"/>
  <c r="AM32" i="7"/>
  <c r="AM33" i="7"/>
  <c r="AM34" i="7"/>
  <c r="AM35" i="7"/>
  <c r="AM36" i="7"/>
  <c r="AM37" i="7"/>
  <c r="AM38" i="7"/>
  <c r="AM39" i="7"/>
  <c r="AM40" i="7"/>
  <c r="AM41" i="7"/>
  <c r="AM42" i="7"/>
  <c r="AM43" i="7"/>
  <c r="AM44" i="7"/>
  <c r="AM45" i="7"/>
  <c r="AM46" i="7"/>
  <c r="AM47" i="7"/>
  <c r="AM48" i="7"/>
  <c r="AM49" i="7"/>
  <c r="AM50" i="7"/>
  <c r="AM51" i="7"/>
  <c r="AM52" i="7"/>
  <c r="AM53" i="7"/>
  <c r="AM54" i="7"/>
  <c r="AM55" i="7"/>
  <c r="AM56" i="7"/>
  <c r="AM57" i="7"/>
  <c r="AM58" i="7"/>
  <c r="AM59" i="7"/>
  <c r="AM60" i="7"/>
  <c r="AM61" i="7"/>
  <c r="AM62" i="7"/>
  <c r="AM63" i="7"/>
  <c r="AM64" i="7"/>
  <c r="AM65" i="7"/>
  <c r="AM66" i="7"/>
  <c r="AM67" i="7"/>
  <c r="AM68" i="7"/>
  <c r="AM69" i="7"/>
  <c r="AM70" i="7"/>
  <c r="AM71" i="7"/>
  <c r="AM72" i="7"/>
  <c r="AM73" i="7"/>
  <c r="AM74" i="7"/>
  <c r="AM75" i="7"/>
  <c r="AM76" i="7"/>
  <c r="AM77" i="7"/>
  <c r="AM78" i="7"/>
  <c r="AM79" i="7"/>
  <c r="AM80" i="7"/>
  <c r="AM81" i="7"/>
  <c r="AM82" i="7"/>
  <c r="AM83" i="7"/>
  <c r="AM84" i="7"/>
  <c r="AM85" i="7"/>
  <c r="AM86" i="7"/>
  <c r="AM87" i="7"/>
  <c r="AM88" i="7"/>
  <c r="AM89" i="7"/>
  <c r="AM90" i="7"/>
  <c r="AM91" i="7"/>
  <c r="AM92" i="7"/>
  <c r="AM93" i="7"/>
  <c r="AM94" i="7"/>
  <c r="AM95" i="7"/>
  <c r="AM96" i="7"/>
  <c r="AM97" i="7"/>
  <c r="AM98" i="7"/>
  <c r="AM99" i="7"/>
  <c r="AM100" i="7"/>
  <c r="AM101" i="7"/>
  <c r="AM102" i="7"/>
  <c r="AM103" i="7"/>
  <c r="AM104" i="7"/>
  <c r="AM105" i="7"/>
  <c r="AM106" i="7"/>
  <c r="AM107" i="7"/>
  <c r="AM108" i="7"/>
  <c r="AM109" i="7"/>
  <c r="AM110" i="7"/>
  <c r="AM111" i="7"/>
  <c r="AM112" i="7"/>
  <c r="AM113" i="7"/>
  <c r="AM114" i="7"/>
  <c r="AM115" i="7"/>
  <c r="AM116" i="7"/>
  <c r="AM8" i="7"/>
  <c r="AL8" i="7"/>
  <c r="AK9" i="7"/>
  <c r="AK10" i="7"/>
  <c r="AK11" i="7"/>
  <c r="AK12" i="7"/>
  <c r="AK13" i="7"/>
  <c r="AK14" i="7"/>
  <c r="AK15" i="7"/>
  <c r="AK16" i="7"/>
  <c r="AK17" i="7"/>
  <c r="AK18" i="7"/>
  <c r="AK19" i="7"/>
  <c r="AK20" i="7"/>
  <c r="AK21" i="7"/>
  <c r="AK22" i="7"/>
  <c r="AK23" i="7"/>
  <c r="AK24" i="7"/>
  <c r="AK25" i="7"/>
  <c r="AK26" i="7"/>
  <c r="AK27" i="7"/>
  <c r="AK28" i="7"/>
  <c r="AK29" i="7"/>
  <c r="AK30" i="7"/>
  <c r="AK31" i="7"/>
  <c r="AK32" i="7"/>
  <c r="AK33" i="7"/>
  <c r="AK34" i="7"/>
  <c r="AK35" i="7"/>
  <c r="AK36" i="7"/>
  <c r="AK37" i="7"/>
  <c r="AK38" i="7"/>
  <c r="AK39" i="7"/>
  <c r="AK40" i="7"/>
  <c r="AK41" i="7"/>
  <c r="AK42" i="7"/>
  <c r="AK43" i="7"/>
  <c r="AK44" i="7"/>
  <c r="AK45" i="7"/>
  <c r="AK46" i="7"/>
  <c r="AK47" i="7"/>
  <c r="AK48" i="7"/>
  <c r="AK49" i="7"/>
  <c r="AK50" i="7"/>
  <c r="AK51" i="7"/>
  <c r="AK52" i="7"/>
  <c r="AK53" i="7"/>
  <c r="AK54" i="7"/>
  <c r="AK55" i="7"/>
  <c r="AK56" i="7"/>
  <c r="AK57" i="7"/>
  <c r="AK58" i="7"/>
  <c r="AK59" i="7"/>
  <c r="AK60" i="7"/>
  <c r="AK61" i="7"/>
  <c r="AK62" i="7"/>
  <c r="AK63" i="7"/>
  <c r="AK64" i="7"/>
  <c r="AK65" i="7"/>
  <c r="AK66" i="7"/>
  <c r="AK67" i="7"/>
  <c r="AK68" i="7"/>
  <c r="AK69" i="7"/>
  <c r="AK70" i="7"/>
  <c r="AK71" i="7"/>
  <c r="AK72" i="7"/>
  <c r="AK73" i="7"/>
  <c r="AK74" i="7"/>
  <c r="AK75" i="7"/>
  <c r="AK76" i="7"/>
  <c r="AK77" i="7"/>
  <c r="AK78" i="7"/>
  <c r="AK79" i="7"/>
  <c r="AK80" i="7"/>
  <c r="AK81" i="7"/>
  <c r="AK82" i="7"/>
  <c r="AK83" i="7"/>
  <c r="AK84" i="7"/>
  <c r="AK85" i="7"/>
  <c r="AK86" i="7"/>
  <c r="AK87" i="7"/>
  <c r="AK88" i="7"/>
  <c r="AK89" i="7"/>
  <c r="AK90" i="7"/>
  <c r="AK91" i="7"/>
  <c r="AK92" i="7"/>
  <c r="AK93" i="7"/>
  <c r="AK94" i="7"/>
  <c r="AK95" i="7"/>
  <c r="AK96" i="7"/>
  <c r="AK97" i="7"/>
  <c r="AK98" i="7"/>
  <c r="AK99" i="7"/>
  <c r="AK100" i="7"/>
  <c r="AK101" i="7"/>
  <c r="AK102" i="7"/>
  <c r="AK103" i="7"/>
  <c r="AK104" i="7"/>
  <c r="AK105" i="7"/>
  <c r="AK106" i="7"/>
  <c r="AK107" i="7"/>
  <c r="AK108" i="7"/>
  <c r="AK109" i="7"/>
  <c r="AK110" i="7"/>
  <c r="AK111" i="7"/>
  <c r="AK112" i="7"/>
  <c r="AK113" i="7"/>
  <c r="AK114" i="7"/>
  <c r="AK115" i="7"/>
  <c r="AK116" i="7"/>
  <c r="AK8" i="7"/>
  <c r="AJ8" i="7"/>
  <c r="AJ9" i="7"/>
  <c r="AJ10" i="7"/>
  <c r="AJ11" i="7"/>
  <c r="AJ12" i="7"/>
  <c r="AJ13" i="7"/>
  <c r="AJ14" i="7"/>
  <c r="AJ15" i="7"/>
  <c r="AJ16" i="7"/>
  <c r="AJ17" i="7"/>
  <c r="AJ18" i="7"/>
  <c r="AJ19" i="7"/>
  <c r="AJ20" i="7"/>
  <c r="AJ21" i="7"/>
  <c r="AJ22" i="7"/>
  <c r="AJ23" i="7"/>
  <c r="AJ24" i="7"/>
  <c r="AJ25" i="7"/>
  <c r="AJ26" i="7"/>
  <c r="AJ27" i="7"/>
  <c r="AJ28" i="7"/>
  <c r="AJ29" i="7"/>
  <c r="AJ30" i="7"/>
  <c r="AJ31" i="7"/>
  <c r="AJ32" i="7"/>
  <c r="AJ33" i="7"/>
  <c r="AJ34" i="7"/>
  <c r="AJ35" i="7"/>
  <c r="AJ36" i="7"/>
  <c r="AJ37" i="7"/>
  <c r="AJ38" i="7"/>
  <c r="AJ39" i="7"/>
  <c r="AJ40" i="7"/>
  <c r="AJ41" i="7"/>
  <c r="AJ42" i="7"/>
  <c r="AJ43" i="7"/>
  <c r="AJ44" i="7"/>
  <c r="AJ45" i="7"/>
  <c r="AJ46" i="7"/>
  <c r="AJ47" i="7"/>
  <c r="AJ48" i="7"/>
  <c r="AJ49" i="7"/>
  <c r="AJ50" i="7"/>
  <c r="AJ51" i="7"/>
  <c r="AJ52" i="7"/>
  <c r="AJ53" i="7"/>
  <c r="AJ54" i="7"/>
  <c r="AJ55" i="7"/>
  <c r="AJ56" i="7"/>
  <c r="AJ57" i="7"/>
  <c r="AJ58" i="7"/>
  <c r="AJ59" i="7"/>
  <c r="AJ60" i="7"/>
  <c r="AJ61" i="7"/>
  <c r="AJ62" i="7"/>
  <c r="AJ63" i="7"/>
  <c r="AJ64" i="7"/>
  <c r="AJ65" i="7"/>
  <c r="AJ66" i="7"/>
  <c r="AJ67" i="7"/>
  <c r="AJ68" i="7"/>
  <c r="AJ69" i="7"/>
  <c r="AJ70" i="7"/>
  <c r="AJ71" i="7"/>
  <c r="AJ72" i="7"/>
  <c r="AJ73" i="7"/>
  <c r="AJ74" i="7"/>
  <c r="AJ75" i="7"/>
  <c r="AJ76" i="7"/>
  <c r="AJ77" i="7"/>
  <c r="AJ78" i="7"/>
  <c r="AJ79" i="7"/>
  <c r="AJ80" i="7"/>
  <c r="AJ81" i="7"/>
  <c r="AJ82" i="7"/>
  <c r="AJ83" i="7"/>
  <c r="AJ84" i="7"/>
  <c r="AJ85" i="7"/>
  <c r="AJ86" i="7"/>
  <c r="AJ87" i="7"/>
  <c r="AJ88" i="7"/>
  <c r="AJ89" i="7"/>
  <c r="AJ90" i="7"/>
  <c r="AJ91" i="7"/>
  <c r="AJ92" i="7"/>
  <c r="AJ93" i="7"/>
  <c r="AJ94" i="7"/>
  <c r="AJ95" i="7"/>
  <c r="AJ96" i="7"/>
  <c r="AJ97" i="7"/>
  <c r="AJ98" i="7"/>
  <c r="AJ99" i="7"/>
  <c r="AJ100" i="7"/>
  <c r="AJ101" i="7"/>
  <c r="AJ102" i="7"/>
  <c r="AJ103" i="7"/>
  <c r="AJ104" i="7"/>
  <c r="AJ105" i="7"/>
  <c r="AJ106" i="7"/>
  <c r="AJ107" i="7"/>
  <c r="AJ108" i="7"/>
  <c r="AJ109" i="7"/>
  <c r="AJ110" i="7"/>
  <c r="AJ111" i="7"/>
  <c r="AJ112" i="7"/>
  <c r="AJ113" i="7"/>
  <c r="AJ114" i="7"/>
  <c r="AJ115" i="7"/>
  <c r="AJ116" i="7"/>
  <c r="AE9" i="7"/>
  <c r="AD34" i="7"/>
  <c r="AD35" i="7"/>
  <c r="AD36" i="7"/>
  <c r="AD37" i="7"/>
  <c r="AD38" i="7"/>
  <c r="AD39" i="7"/>
  <c r="AD40" i="7"/>
  <c r="AD41" i="7"/>
  <c r="AD42" i="7"/>
  <c r="AD43" i="7"/>
  <c r="AD44" i="7"/>
  <c r="AD45" i="7"/>
  <c r="AD46" i="7"/>
  <c r="AD47" i="7"/>
  <c r="AD48" i="7"/>
  <c r="AD49" i="7"/>
  <c r="AD50" i="7"/>
  <c r="AD51" i="7"/>
  <c r="AD52" i="7"/>
  <c r="AD53" i="7"/>
  <c r="AD54" i="7"/>
  <c r="AD55" i="7"/>
  <c r="AD56" i="7"/>
  <c r="AD57" i="7"/>
  <c r="AD58" i="7"/>
  <c r="AD59" i="7"/>
  <c r="AD60" i="7"/>
  <c r="AD61" i="7"/>
  <c r="AD62" i="7"/>
  <c r="AD63" i="7"/>
  <c r="AD64" i="7"/>
  <c r="AD65" i="7"/>
  <c r="AD66" i="7"/>
  <c r="AD67" i="7"/>
  <c r="AD68" i="7"/>
  <c r="AD69" i="7"/>
  <c r="AD70" i="7"/>
  <c r="AD71" i="7"/>
  <c r="AD72" i="7"/>
  <c r="AD73" i="7"/>
  <c r="AD74" i="7"/>
  <c r="AD75" i="7"/>
  <c r="AD76" i="7"/>
  <c r="AD77" i="7"/>
  <c r="AD78" i="7"/>
  <c r="AD79" i="7"/>
  <c r="AD80" i="7"/>
  <c r="AD81" i="7"/>
  <c r="AD82" i="7"/>
  <c r="AD83" i="7"/>
  <c r="AD84" i="7"/>
  <c r="AD85" i="7"/>
  <c r="AD86" i="7"/>
  <c r="AD87" i="7"/>
  <c r="AD88" i="7"/>
  <c r="AD89" i="7"/>
  <c r="AD90" i="7"/>
  <c r="AD91" i="7"/>
  <c r="AD92" i="7"/>
  <c r="AD93" i="7"/>
  <c r="AD94" i="7"/>
  <c r="AD95" i="7"/>
  <c r="AD96" i="7"/>
  <c r="AD97" i="7"/>
  <c r="AD98" i="7"/>
  <c r="AD99" i="7"/>
  <c r="AD100" i="7"/>
  <c r="AD101" i="7"/>
  <c r="AD102" i="7"/>
  <c r="AD103" i="7"/>
  <c r="AD104" i="7"/>
  <c r="AD105" i="7"/>
  <c r="AD106" i="7"/>
  <c r="AD107" i="7"/>
  <c r="AD108" i="7"/>
  <c r="AD109" i="7"/>
  <c r="AD110" i="7"/>
  <c r="AD111" i="7"/>
  <c r="AD112" i="7"/>
  <c r="AD113" i="7"/>
  <c r="AD114" i="7"/>
  <c r="AD115" i="7"/>
  <c r="AD116" i="7"/>
  <c r="AC34" i="7"/>
  <c r="AC35" i="7"/>
  <c r="AC36" i="7"/>
  <c r="AC37" i="7"/>
  <c r="AC38" i="7"/>
  <c r="AC39" i="7"/>
  <c r="AC40" i="7"/>
  <c r="AC41" i="7"/>
  <c r="AC42" i="7"/>
  <c r="AC43" i="7"/>
  <c r="AC44" i="7"/>
  <c r="AC45" i="7"/>
  <c r="AC46" i="7"/>
  <c r="AC47" i="7"/>
  <c r="AC48" i="7"/>
  <c r="AC49" i="7"/>
  <c r="AC50" i="7"/>
  <c r="AC51" i="7"/>
  <c r="AC52" i="7"/>
  <c r="AC53" i="7"/>
  <c r="AC54" i="7"/>
  <c r="AC55" i="7"/>
  <c r="AC56" i="7"/>
  <c r="AC57" i="7"/>
  <c r="AC58" i="7"/>
  <c r="AC59" i="7"/>
  <c r="AC60" i="7"/>
  <c r="AC61" i="7"/>
  <c r="AC62" i="7"/>
  <c r="AC63" i="7"/>
  <c r="AC64" i="7"/>
  <c r="AC65" i="7"/>
  <c r="AC66" i="7"/>
  <c r="AC67" i="7"/>
  <c r="AC68" i="7"/>
  <c r="AC69" i="7"/>
  <c r="AC70" i="7"/>
  <c r="AC71" i="7"/>
  <c r="AC72" i="7"/>
  <c r="AC73" i="7"/>
  <c r="AC74" i="7"/>
  <c r="AC75" i="7"/>
  <c r="AC76" i="7"/>
  <c r="AC77" i="7"/>
  <c r="AC78" i="7"/>
  <c r="AC79" i="7"/>
  <c r="AC80" i="7"/>
  <c r="AC81" i="7"/>
  <c r="AC82" i="7"/>
  <c r="AC83" i="7"/>
  <c r="AC84" i="7"/>
  <c r="AC85" i="7"/>
  <c r="AC86" i="7"/>
  <c r="AC87" i="7"/>
  <c r="AC88" i="7"/>
  <c r="AC89" i="7"/>
  <c r="AC90" i="7"/>
  <c r="AC91" i="7"/>
  <c r="AC92" i="7"/>
  <c r="AC93" i="7"/>
  <c r="AC94" i="7"/>
  <c r="AC95" i="7"/>
  <c r="AC96" i="7"/>
  <c r="AC97" i="7"/>
  <c r="AC98" i="7"/>
  <c r="AC99" i="7"/>
  <c r="AC100" i="7"/>
  <c r="AC101" i="7"/>
  <c r="AC102" i="7"/>
  <c r="AC103" i="7"/>
  <c r="AC104" i="7"/>
  <c r="AC105" i="7"/>
  <c r="AC106" i="7"/>
  <c r="AC107" i="7"/>
  <c r="AC108" i="7"/>
  <c r="AC109" i="7"/>
  <c r="AC110" i="7"/>
  <c r="AC111" i="7"/>
  <c r="AC112" i="7"/>
  <c r="AC113" i="7"/>
  <c r="AC114" i="7"/>
  <c r="AC115" i="7"/>
  <c r="AC116" i="7"/>
  <c r="AE9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26" i="6"/>
  <c r="AE27" i="6"/>
  <c r="AE28" i="6"/>
  <c r="AE29" i="6"/>
  <c r="AE30" i="6"/>
  <c r="AE31" i="6"/>
  <c r="AE32" i="6"/>
  <c r="AE33" i="6"/>
  <c r="AE34" i="6"/>
  <c r="AE35" i="6"/>
  <c r="AE36" i="6"/>
  <c r="AE37" i="6"/>
  <c r="AE38" i="6"/>
  <c r="AE39" i="6"/>
  <c r="AE40" i="6"/>
  <c r="AE41" i="6"/>
  <c r="AE42" i="6"/>
  <c r="AE43" i="6"/>
  <c r="AE44" i="6"/>
  <c r="AE45" i="6"/>
  <c r="AE46" i="6"/>
  <c r="AE47" i="6"/>
  <c r="AE48" i="6"/>
  <c r="AE49" i="6"/>
  <c r="AE50" i="6"/>
  <c r="AE51" i="6"/>
  <c r="AE52" i="6"/>
  <c r="AE53" i="6"/>
  <c r="AE54" i="6"/>
  <c r="AE55" i="6"/>
  <c r="AE56" i="6"/>
  <c r="AE57" i="6"/>
  <c r="AE58" i="6"/>
  <c r="AE59" i="6"/>
  <c r="AE60" i="6"/>
  <c r="AE61" i="6"/>
  <c r="AE62" i="6"/>
  <c r="AE63" i="6"/>
  <c r="AE64" i="6"/>
  <c r="AE65" i="6"/>
  <c r="AE66" i="6"/>
  <c r="AE67" i="6"/>
  <c r="AE68" i="6"/>
  <c r="AE69" i="6"/>
  <c r="AE70" i="6"/>
  <c r="AE71" i="6"/>
  <c r="AE72" i="6"/>
  <c r="AE73" i="6"/>
  <c r="AE74" i="6"/>
  <c r="AE75" i="6"/>
  <c r="AE76" i="6"/>
  <c r="AE77" i="6"/>
  <c r="AE78" i="6"/>
  <c r="AE79" i="6"/>
  <c r="AE80" i="6"/>
  <c r="AE81" i="6"/>
  <c r="AE82" i="6"/>
  <c r="AE83" i="6"/>
  <c r="AE84" i="6"/>
  <c r="AE85" i="6"/>
  <c r="AE86" i="6"/>
  <c r="AE87" i="6"/>
  <c r="AE88" i="6"/>
  <c r="AE89" i="6"/>
  <c r="AE90" i="6"/>
  <c r="AE91" i="6"/>
  <c r="AE92" i="6"/>
  <c r="AE93" i="6"/>
  <c r="AE94" i="6"/>
  <c r="AE95" i="6"/>
  <c r="AE96" i="6"/>
  <c r="AE97" i="6"/>
  <c r="AE98" i="6"/>
  <c r="AE99" i="6"/>
  <c r="AE100" i="6"/>
  <c r="AE101" i="6"/>
  <c r="AE102" i="6"/>
  <c r="AE103" i="6"/>
  <c r="AE104" i="6"/>
  <c r="AE105" i="6"/>
  <c r="AE106" i="6"/>
  <c r="AE107" i="6"/>
  <c r="AE108" i="6"/>
  <c r="AE109" i="6"/>
  <c r="AE110" i="6"/>
  <c r="AE111" i="6"/>
  <c r="AE112" i="6"/>
  <c r="AE113" i="6"/>
  <c r="AE114" i="6"/>
  <c r="AE115" i="6"/>
  <c r="AE116" i="6"/>
  <c r="AA9" i="6"/>
  <c r="AF116" i="7"/>
  <c r="AE116" i="7"/>
  <c r="AB116" i="7"/>
  <c r="AA116" i="7"/>
  <c r="AF115" i="7"/>
  <c r="AE115" i="7"/>
  <c r="AB115" i="7"/>
  <c r="AA115" i="7"/>
  <c r="AF114" i="7"/>
  <c r="AE114" i="7"/>
  <c r="AB114" i="7"/>
  <c r="AA114" i="7"/>
  <c r="AF113" i="7"/>
  <c r="AE113" i="7"/>
  <c r="AB113" i="7"/>
  <c r="AA113" i="7"/>
  <c r="AF112" i="7"/>
  <c r="AE112" i="7"/>
  <c r="AB112" i="7"/>
  <c r="AA112" i="7"/>
  <c r="AF111" i="7"/>
  <c r="AE111" i="7"/>
  <c r="AB111" i="7"/>
  <c r="AA111" i="7"/>
  <c r="AF110" i="7"/>
  <c r="AE110" i="7"/>
  <c r="AB110" i="7"/>
  <c r="AA110" i="7"/>
  <c r="AF109" i="7"/>
  <c r="AE109" i="7"/>
  <c r="AB109" i="7"/>
  <c r="AA109" i="7"/>
  <c r="AF108" i="7"/>
  <c r="AE108" i="7"/>
  <c r="AB108" i="7"/>
  <c r="AA108" i="7"/>
  <c r="AF107" i="7"/>
  <c r="AE107" i="7"/>
  <c r="AB107" i="7"/>
  <c r="AA107" i="7"/>
  <c r="AF106" i="7"/>
  <c r="AE106" i="7"/>
  <c r="AB106" i="7"/>
  <c r="AA106" i="7"/>
  <c r="AF105" i="7"/>
  <c r="AE105" i="7"/>
  <c r="AB105" i="7"/>
  <c r="AA105" i="7"/>
  <c r="AF104" i="7"/>
  <c r="AE104" i="7"/>
  <c r="AB104" i="7"/>
  <c r="AA104" i="7"/>
  <c r="AF103" i="7"/>
  <c r="AE103" i="7"/>
  <c r="AB103" i="7"/>
  <c r="AA103" i="7"/>
  <c r="AF102" i="7"/>
  <c r="AE102" i="7"/>
  <c r="AB102" i="7"/>
  <c r="AA102" i="7"/>
  <c r="AF101" i="7"/>
  <c r="AE101" i="7"/>
  <c r="AB101" i="7"/>
  <c r="AA101" i="7"/>
  <c r="AF100" i="7"/>
  <c r="AE100" i="7"/>
  <c r="AB100" i="7"/>
  <c r="AA100" i="7"/>
  <c r="AF99" i="7"/>
  <c r="AE99" i="7"/>
  <c r="AB99" i="7"/>
  <c r="AA99" i="7"/>
  <c r="AF98" i="7"/>
  <c r="AE98" i="7"/>
  <c r="AB98" i="7"/>
  <c r="AA98" i="7"/>
  <c r="AF97" i="7"/>
  <c r="AE97" i="7"/>
  <c r="AB97" i="7"/>
  <c r="AA97" i="7"/>
  <c r="AF96" i="7"/>
  <c r="AE96" i="7"/>
  <c r="AB96" i="7"/>
  <c r="AA96" i="7"/>
  <c r="AF95" i="7"/>
  <c r="AE95" i="7"/>
  <c r="AB95" i="7"/>
  <c r="AA95" i="7"/>
  <c r="AF94" i="7"/>
  <c r="AE94" i="7"/>
  <c r="AB94" i="7"/>
  <c r="AA94" i="7"/>
  <c r="AF93" i="7"/>
  <c r="AE93" i="7"/>
  <c r="AB93" i="7"/>
  <c r="AA93" i="7"/>
  <c r="AF92" i="7"/>
  <c r="AE92" i="7"/>
  <c r="AB92" i="7"/>
  <c r="AA92" i="7"/>
  <c r="AF91" i="7"/>
  <c r="AE91" i="7"/>
  <c r="AB91" i="7"/>
  <c r="AA91" i="7"/>
  <c r="AF90" i="7"/>
  <c r="AE90" i="7"/>
  <c r="AB90" i="7"/>
  <c r="AA90" i="7"/>
  <c r="AF89" i="7"/>
  <c r="AE89" i="7"/>
  <c r="AB89" i="7"/>
  <c r="AA89" i="7"/>
  <c r="AF88" i="7"/>
  <c r="AE88" i="7"/>
  <c r="AB88" i="7"/>
  <c r="AA88" i="7"/>
  <c r="AF87" i="7"/>
  <c r="AE87" i="7"/>
  <c r="AB87" i="7"/>
  <c r="AA87" i="7"/>
  <c r="AF86" i="7"/>
  <c r="AE86" i="7"/>
  <c r="AB86" i="7"/>
  <c r="AA86" i="7"/>
  <c r="AF85" i="7"/>
  <c r="AE85" i="7"/>
  <c r="AB85" i="7"/>
  <c r="AA85" i="7"/>
  <c r="AF84" i="7"/>
  <c r="AE84" i="7"/>
  <c r="AB84" i="7"/>
  <c r="AA84" i="7"/>
  <c r="AF83" i="7"/>
  <c r="AE83" i="7"/>
  <c r="AB83" i="7"/>
  <c r="AA83" i="7"/>
  <c r="AF82" i="7"/>
  <c r="AE82" i="7"/>
  <c r="AB82" i="7"/>
  <c r="AA82" i="7"/>
  <c r="AF81" i="7"/>
  <c r="AE81" i="7"/>
  <c r="AB81" i="7"/>
  <c r="AA81" i="7"/>
  <c r="AF80" i="7"/>
  <c r="AE80" i="7"/>
  <c r="AB80" i="7"/>
  <c r="AA80" i="7"/>
  <c r="AF79" i="7"/>
  <c r="AE79" i="7"/>
  <c r="AB79" i="7"/>
  <c r="AA79" i="7"/>
  <c r="AF78" i="7"/>
  <c r="AE78" i="7"/>
  <c r="AB78" i="7"/>
  <c r="AA78" i="7"/>
  <c r="AF77" i="7"/>
  <c r="AE77" i="7"/>
  <c r="AB77" i="7"/>
  <c r="AA77" i="7"/>
  <c r="AF76" i="7"/>
  <c r="AE76" i="7"/>
  <c r="AB76" i="7"/>
  <c r="AA76" i="7"/>
  <c r="AF75" i="7"/>
  <c r="AE75" i="7"/>
  <c r="AB75" i="7"/>
  <c r="AA75" i="7"/>
  <c r="AF74" i="7"/>
  <c r="AE74" i="7"/>
  <c r="AB74" i="7"/>
  <c r="AA74" i="7"/>
  <c r="AF73" i="7"/>
  <c r="AE73" i="7"/>
  <c r="AB73" i="7"/>
  <c r="AA73" i="7"/>
  <c r="AF72" i="7"/>
  <c r="AE72" i="7"/>
  <c r="AB72" i="7"/>
  <c r="AA72" i="7"/>
  <c r="AF71" i="7"/>
  <c r="AE71" i="7"/>
  <c r="AB71" i="7"/>
  <c r="AA71" i="7"/>
  <c r="AF70" i="7"/>
  <c r="AE70" i="7"/>
  <c r="AB70" i="7"/>
  <c r="AA70" i="7"/>
  <c r="AF69" i="7"/>
  <c r="AE69" i="7"/>
  <c r="AB69" i="7"/>
  <c r="AA69" i="7"/>
  <c r="AF68" i="7"/>
  <c r="AE68" i="7"/>
  <c r="AB68" i="7"/>
  <c r="AA68" i="7"/>
  <c r="AF67" i="7"/>
  <c r="AE67" i="7"/>
  <c r="AB67" i="7"/>
  <c r="AA67" i="7"/>
  <c r="AF66" i="7"/>
  <c r="AE66" i="7"/>
  <c r="AB66" i="7"/>
  <c r="AA66" i="7"/>
  <c r="AF65" i="7"/>
  <c r="AE65" i="7"/>
  <c r="AB65" i="7"/>
  <c r="AA65" i="7"/>
  <c r="AF64" i="7"/>
  <c r="AE64" i="7"/>
  <c r="AB64" i="7"/>
  <c r="AA64" i="7"/>
  <c r="AF63" i="7"/>
  <c r="AE63" i="7"/>
  <c r="AB63" i="7"/>
  <c r="AA63" i="7"/>
  <c r="AF62" i="7"/>
  <c r="AE62" i="7"/>
  <c r="AB62" i="7"/>
  <c r="AA62" i="7"/>
  <c r="AF61" i="7"/>
  <c r="AE61" i="7"/>
  <c r="AB61" i="7"/>
  <c r="AA61" i="7"/>
  <c r="AF60" i="7"/>
  <c r="AE60" i="7"/>
  <c r="AB60" i="7"/>
  <c r="AA60" i="7"/>
  <c r="AF59" i="7"/>
  <c r="AE59" i="7"/>
  <c r="AB59" i="7"/>
  <c r="AA59" i="7"/>
  <c r="AF58" i="7"/>
  <c r="AE58" i="7"/>
  <c r="AB58" i="7"/>
  <c r="AA58" i="7"/>
  <c r="AF57" i="7"/>
  <c r="AE57" i="7"/>
  <c r="AB57" i="7"/>
  <c r="AA57" i="7"/>
  <c r="AF56" i="7"/>
  <c r="AE56" i="7"/>
  <c r="AB56" i="7"/>
  <c r="AA56" i="7"/>
  <c r="AF55" i="7"/>
  <c r="AE55" i="7"/>
  <c r="AB55" i="7"/>
  <c r="AA55" i="7"/>
  <c r="AF54" i="7"/>
  <c r="AE54" i="7"/>
  <c r="AB54" i="7"/>
  <c r="AA54" i="7"/>
  <c r="AF53" i="7"/>
  <c r="AE53" i="7"/>
  <c r="AB53" i="7"/>
  <c r="AA53" i="7"/>
  <c r="AF52" i="7"/>
  <c r="AE52" i="7"/>
  <c r="AB52" i="7"/>
  <c r="AA52" i="7"/>
  <c r="AF51" i="7"/>
  <c r="AE51" i="7"/>
  <c r="AB51" i="7"/>
  <c r="AA51" i="7"/>
  <c r="AF50" i="7"/>
  <c r="AE50" i="7"/>
  <c r="AB50" i="7"/>
  <c r="AA50" i="7"/>
  <c r="AF49" i="7"/>
  <c r="AE49" i="7"/>
  <c r="AB49" i="7"/>
  <c r="AA49" i="7"/>
  <c r="AF48" i="7"/>
  <c r="AE48" i="7"/>
  <c r="AB48" i="7"/>
  <c r="AA48" i="7"/>
  <c r="AF47" i="7"/>
  <c r="AE47" i="7"/>
  <c r="AB47" i="7"/>
  <c r="AA47" i="7"/>
  <c r="AF46" i="7"/>
  <c r="AE46" i="7"/>
  <c r="AB46" i="7"/>
  <c r="AA46" i="7"/>
  <c r="AF45" i="7"/>
  <c r="AE45" i="7"/>
  <c r="AB45" i="7"/>
  <c r="AA45" i="7"/>
  <c r="AF44" i="7"/>
  <c r="AE44" i="7"/>
  <c r="AB44" i="7"/>
  <c r="AA44" i="7"/>
  <c r="AF43" i="7"/>
  <c r="AE43" i="7"/>
  <c r="AB43" i="7"/>
  <c r="AA43" i="7"/>
  <c r="AF42" i="7"/>
  <c r="AE42" i="7"/>
  <c r="AB42" i="7"/>
  <c r="AA42" i="7"/>
  <c r="AF41" i="7"/>
  <c r="AE41" i="7"/>
  <c r="AB41" i="7"/>
  <c r="AA41" i="7"/>
  <c r="AF40" i="7"/>
  <c r="AE40" i="7"/>
  <c r="AB40" i="7"/>
  <c r="AA40" i="7"/>
  <c r="AF39" i="7"/>
  <c r="AE39" i="7"/>
  <c r="AB39" i="7"/>
  <c r="AA39" i="7"/>
  <c r="AF38" i="7"/>
  <c r="AE38" i="7"/>
  <c r="AB38" i="7"/>
  <c r="AA38" i="7"/>
  <c r="AF37" i="7"/>
  <c r="AE37" i="7"/>
  <c r="AB37" i="7"/>
  <c r="AA37" i="7"/>
  <c r="AF36" i="7"/>
  <c r="AE36" i="7"/>
  <c r="AB36" i="7"/>
  <c r="AA36" i="7"/>
  <c r="AF35" i="7"/>
  <c r="AE35" i="7"/>
  <c r="AB35" i="7"/>
  <c r="AA35" i="7"/>
  <c r="AF34" i="7"/>
  <c r="AE34" i="7"/>
  <c r="AB34" i="7"/>
  <c r="AA34" i="7"/>
  <c r="AE33" i="7"/>
  <c r="AA33" i="7"/>
  <c r="AE32" i="7"/>
  <c r="AA32" i="7"/>
  <c r="AE31" i="7"/>
  <c r="AA31" i="7"/>
  <c r="AE30" i="7"/>
  <c r="AA30" i="7"/>
  <c r="AE29" i="7"/>
  <c r="AA29" i="7"/>
  <c r="AE28" i="7"/>
  <c r="AA28" i="7"/>
  <c r="AE27" i="7"/>
  <c r="AA27" i="7"/>
  <c r="AE26" i="7"/>
  <c r="AA26" i="7"/>
  <c r="AE25" i="7"/>
  <c r="AA25" i="7"/>
  <c r="AE24" i="7"/>
  <c r="AA24" i="7"/>
  <c r="AE23" i="7"/>
  <c r="AA23" i="7"/>
  <c r="AE22" i="7"/>
  <c r="AA22" i="7"/>
  <c r="AE21" i="7"/>
  <c r="AA21" i="7"/>
  <c r="AE20" i="7"/>
  <c r="AA20" i="7"/>
  <c r="AE19" i="7"/>
  <c r="AA19" i="7"/>
  <c r="AE18" i="7"/>
  <c r="AA18" i="7"/>
  <c r="AE17" i="7"/>
  <c r="AA17" i="7"/>
  <c r="AE16" i="7"/>
  <c r="AA16" i="7"/>
  <c r="AE15" i="7"/>
  <c r="AA15" i="7"/>
  <c r="AE14" i="7"/>
  <c r="AA14" i="7"/>
  <c r="AE13" i="7"/>
  <c r="AA13" i="7"/>
  <c r="AE12" i="7"/>
  <c r="AA12" i="7"/>
  <c r="AE11" i="7"/>
  <c r="AA11" i="7"/>
  <c r="AE10" i="7"/>
  <c r="AH116" i="6"/>
  <c r="AG116" i="6"/>
  <c r="AF116" i="6"/>
  <c r="AD116" i="6"/>
  <c r="AC116" i="6"/>
  <c r="AB116" i="6"/>
  <c r="AA116" i="6"/>
  <c r="AH115" i="6"/>
  <c r="AG115" i="6"/>
  <c r="AF115" i="6"/>
  <c r="AD115" i="6"/>
  <c r="AC115" i="6"/>
  <c r="AB115" i="6"/>
  <c r="AA115" i="6"/>
  <c r="AH114" i="6"/>
  <c r="AG114" i="6"/>
  <c r="AF114" i="6"/>
  <c r="AD114" i="6"/>
  <c r="AC114" i="6"/>
  <c r="AB114" i="6"/>
  <c r="AA114" i="6"/>
  <c r="AH113" i="6"/>
  <c r="AG113" i="6"/>
  <c r="AF113" i="6"/>
  <c r="AD113" i="6"/>
  <c r="AC113" i="6"/>
  <c r="AB113" i="6"/>
  <c r="AA113" i="6"/>
  <c r="AH112" i="6"/>
  <c r="AG112" i="6"/>
  <c r="AF112" i="6"/>
  <c r="AD112" i="6"/>
  <c r="AC112" i="6"/>
  <c r="AB112" i="6"/>
  <c r="AA112" i="6"/>
  <c r="AH111" i="6"/>
  <c r="AG111" i="6"/>
  <c r="AF111" i="6"/>
  <c r="AD111" i="6"/>
  <c r="AC111" i="6"/>
  <c r="AB111" i="6"/>
  <c r="AA111" i="6"/>
  <c r="AH110" i="6"/>
  <c r="AG110" i="6"/>
  <c r="AF110" i="6"/>
  <c r="AD110" i="6"/>
  <c r="AC110" i="6"/>
  <c r="AB110" i="6"/>
  <c r="AA110" i="6"/>
  <c r="AH109" i="6"/>
  <c r="AG109" i="6"/>
  <c r="AF109" i="6"/>
  <c r="AD109" i="6"/>
  <c r="AC109" i="6"/>
  <c r="AB109" i="6"/>
  <c r="AA109" i="6"/>
  <c r="AH108" i="6"/>
  <c r="AG108" i="6"/>
  <c r="AF108" i="6"/>
  <c r="AD108" i="6"/>
  <c r="AC108" i="6"/>
  <c r="AB108" i="6"/>
  <c r="AA108" i="6"/>
  <c r="AH107" i="6"/>
  <c r="AG107" i="6"/>
  <c r="AF107" i="6"/>
  <c r="AD107" i="6"/>
  <c r="AC107" i="6"/>
  <c r="AB107" i="6"/>
  <c r="AA107" i="6"/>
  <c r="AH106" i="6"/>
  <c r="AG106" i="6"/>
  <c r="AF106" i="6"/>
  <c r="AD106" i="6"/>
  <c r="AC106" i="6"/>
  <c r="AB106" i="6"/>
  <c r="AA106" i="6"/>
  <c r="AH105" i="6"/>
  <c r="AG105" i="6"/>
  <c r="AF105" i="6"/>
  <c r="AD105" i="6"/>
  <c r="AC105" i="6"/>
  <c r="AB105" i="6"/>
  <c r="AA105" i="6"/>
  <c r="AH104" i="6"/>
  <c r="AG104" i="6"/>
  <c r="AF104" i="6"/>
  <c r="AD104" i="6"/>
  <c r="AC104" i="6"/>
  <c r="AB104" i="6"/>
  <c r="AA104" i="6"/>
  <c r="AH103" i="6"/>
  <c r="AG103" i="6"/>
  <c r="AF103" i="6"/>
  <c r="AD103" i="6"/>
  <c r="AC103" i="6"/>
  <c r="AB103" i="6"/>
  <c r="AA103" i="6"/>
  <c r="AH102" i="6"/>
  <c r="AG102" i="6"/>
  <c r="AF102" i="6"/>
  <c r="AD102" i="6"/>
  <c r="AC102" i="6"/>
  <c r="AB102" i="6"/>
  <c r="AA102" i="6"/>
  <c r="AH101" i="6"/>
  <c r="AG101" i="6"/>
  <c r="AF101" i="6"/>
  <c r="AD101" i="6"/>
  <c r="AC101" i="6"/>
  <c r="AB101" i="6"/>
  <c r="AA101" i="6"/>
  <c r="AH100" i="6"/>
  <c r="AG100" i="6"/>
  <c r="AF100" i="6"/>
  <c r="AD100" i="6"/>
  <c r="AC100" i="6"/>
  <c r="AB100" i="6"/>
  <c r="AA100" i="6"/>
  <c r="AH99" i="6"/>
  <c r="AG99" i="6"/>
  <c r="AF99" i="6"/>
  <c r="AD99" i="6"/>
  <c r="AC99" i="6"/>
  <c r="AB99" i="6"/>
  <c r="AA99" i="6"/>
  <c r="AH98" i="6"/>
  <c r="AG98" i="6"/>
  <c r="AF98" i="6"/>
  <c r="AD98" i="6"/>
  <c r="AC98" i="6"/>
  <c r="AB98" i="6"/>
  <c r="AA98" i="6"/>
  <c r="AH97" i="6"/>
  <c r="AG97" i="6"/>
  <c r="AF97" i="6"/>
  <c r="AD97" i="6"/>
  <c r="AC97" i="6"/>
  <c r="AB97" i="6"/>
  <c r="AA97" i="6"/>
  <c r="AH96" i="6"/>
  <c r="AG96" i="6"/>
  <c r="AF96" i="6"/>
  <c r="AD96" i="6"/>
  <c r="AC96" i="6"/>
  <c r="AB96" i="6"/>
  <c r="AA96" i="6"/>
  <c r="AH95" i="6"/>
  <c r="AG95" i="6"/>
  <c r="AF95" i="6"/>
  <c r="AD95" i="6"/>
  <c r="AC95" i="6"/>
  <c r="AB95" i="6"/>
  <c r="AA95" i="6"/>
  <c r="AH94" i="6"/>
  <c r="AG94" i="6"/>
  <c r="AF94" i="6"/>
  <c r="AD94" i="6"/>
  <c r="AC94" i="6"/>
  <c r="AB94" i="6"/>
  <c r="AA94" i="6"/>
  <c r="AH93" i="6"/>
  <c r="AG93" i="6"/>
  <c r="AF93" i="6"/>
  <c r="AD93" i="6"/>
  <c r="AC93" i="6"/>
  <c r="AB93" i="6"/>
  <c r="AA93" i="6"/>
  <c r="AH92" i="6"/>
  <c r="AG92" i="6"/>
  <c r="AF92" i="6"/>
  <c r="AD92" i="6"/>
  <c r="AC92" i="6"/>
  <c r="AB92" i="6"/>
  <c r="AA92" i="6"/>
  <c r="AH91" i="6"/>
  <c r="AG91" i="6"/>
  <c r="AF91" i="6"/>
  <c r="AD91" i="6"/>
  <c r="AC91" i="6"/>
  <c r="AB91" i="6"/>
  <c r="AA91" i="6"/>
  <c r="AH90" i="6"/>
  <c r="AG90" i="6"/>
  <c r="AF90" i="6"/>
  <c r="AD90" i="6"/>
  <c r="AC90" i="6"/>
  <c r="AB90" i="6"/>
  <c r="AA90" i="6"/>
  <c r="AH89" i="6"/>
  <c r="AG89" i="6"/>
  <c r="AF89" i="6"/>
  <c r="AD89" i="6"/>
  <c r="AC89" i="6"/>
  <c r="AB89" i="6"/>
  <c r="AA89" i="6"/>
  <c r="AH88" i="6"/>
  <c r="AG88" i="6"/>
  <c r="AF88" i="6"/>
  <c r="AD88" i="6"/>
  <c r="AC88" i="6"/>
  <c r="AB88" i="6"/>
  <c r="AA88" i="6"/>
  <c r="AH87" i="6"/>
  <c r="AG87" i="6"/>
  <c r="AF87" i="6"/>
  <c r="AD87" i="6"/>
  <c r="AC87" i="6"/>
  <c r="AB87" i="6"/>
  <c r="AA87" i="6"/>
  <c r="AH86" i="6"/>
  <c r="AG86" i="6"/>
  <c r="AF86" i="6"/>
  <c r="AD86" i="6"/>
  <c r="AC86" i="6"/>
  <c r="AB86" i="6"/>
  <c r="AA86" i="6"/>
  <c r="AH85" i="6"/>
  <c r="AG85" i="6"/>
  <c r="AF85" i="6"/>
  <c r="AD85" i="6"/>
  <c r="AC85" i="6"/>
  <c r="AB85" i="6"/>
  <c r="AA85" i="6"/>
  <c r="AH84" i="6"/>
  <c r="AG84" i="6"/>
  <c r="AF84" i="6"/>
  <c r="AD84" i="6"/>
  <c r="AC84" i="6"/>
  <c r="AB84" i="6"/>
  <c r="AA84" i="6"/>
  <c r="AH83" i="6"/>
  <c r="AG83" i="6"/>
  <c r="AF83" i="6"/>
  <c r="AD83" i="6"/>
  <c r="AC83" i="6"/>
  <c r="AB83" i="6"/>
  <c r="AA83" i="6"/>
  <c r="AH82" i="6"/>
  <c r="AG82" i="6"/>
  <c r="AF82" i="6"/>
  <c r="AD82" i="6"/>
  <c r="AC82" i="6"/>
  <c r="AB82" i="6"/>
  <c r="AA82" i="6"/>
  <c r="AH81" i="6"/>
  <c r="AG81" i="6"/>
  <c r="AF81" i="6"/>
  <c r="AD81" i="6"/>
  <c r="AC81" i="6"/>
  <c r="AB81" i="6"/>
  <c r="AA81" i="6"/>
  <c r="AH80" i="6"/>
  <c r="AG80" i="6"/>
  <c r="AF80" i="6"/>
  <c r="AD80" i="6"/>
  <c r="AC80" i="6"/>
  <c r="AB80" i="6"/>
  <c r="AA80" i="6"/>
  <c r="AH79" i="6"/>
  <c r="AG79" i="6"/>
  <c r="AF79" i="6"/>
  <c r="AD79" i="6"/>
  <c r="AC79" i="6"/>
  <c r="AB79" i="6"/>
  <c r="AA79" i="6"/>
  <c r="AH78" i="6"/>
  <c r="AG78" i="6"/>
  <c r="AF78" i="6"/>
  <c r="AD78" i="6"/>
  <c r="AC78" i="6"/>
  <c r="AB78" i="6"/>
  <c r="AA78" i="6"/>
  <c r="AH77" i="6"/>
  <c r="AG77" i="6"/>
  <c r="AF77" i="6"/>
  <c r="AD77" i="6"/>
  <c r="AC77" i="6"/>
  <c r="AB77" i="6"/>
  <c r="AA77" i="6"/>
  <c r="AH76" i="6"/>
  <c r="AG76" i="6"/>
  <c r="AF76" i="6"/>
  <c r="AD76" i="6"/>
  <c r="AC76" i="6"/>
  <c r="AB76" i="6"/>
  <c r="AA76" i="6"/>
  <c r="AH75" i="6"/>
  <c r="AG75" i="6"/>
  <c r="AF75" i="6"/>
  <c r="AD75" i="6"/>
  <c r="AC75" i="6"/>
  <c r="AB75" i="6"/>
  <c r="AA75" i="6"/>
  <c r="AH74" i="6"/>
  <c r="AG74" i="6"/>
  <c r="AF74" i="6"/>
  <c r="AD74" i="6"/>
  <c r="AC74" i="6"/>
  <c r="AB74" i="6"/>
  <c r="AA74" i="6"/>
  <c r="AH73" i="6"/>
  <c r="AG73" i="6"/>
  <c r="AF73" i="6"/>
  <c r="AD73" i="6"/>
  <c r="AC73" i="6"/>
  <c r="AB73" i="6"/>
  <c r="AA73" i="6"/>
  <c r="AH72" i="6"/>
  <c r="AG72" i="6"/>
  <c r="AF72" i="6"/>
  <c r="AD72" i="6"/>
  <c r="AC72" i="6"/>
  <c r="AB72" i="6"/>
  <c r="AA72" i="6"/>
  <c r="AH71" i="6"/>
  <c r="AG71" i="6"/>
  <c r="AF71" i="6"/>
  <c r="AD71" i="6"/>
  <c r="AC71" i="6"/>
  <c r="AB71" i="6"/>
  <c r="AA71" i="6"/>
  <c r="AH70" i="6"/>
  <c r="AG70" i="6"/>
  <c r="AF70" i="6"/>
  <c r="AD70" i="6"/>
  <c r="AC70" i="6"/>
  <c r="AB70" i="6"/>
  <c r="AA70" i="6"/>
  <c r="AH69" i="6"/>
  <c r="AG69" i="6"/>
  <c r="AF69" i="6"/>
  <c r="AD69" i="6"/>
  <c r="AC69" i="6"/>
  <c r="AB69" i="6"/>
  <c r="AA69" i="6"/>
  <c r="AH68" i="6"/>
  <c r="AG68" i="6"/>
  <c r="AF68" i="6"/>
  <c r="AD68" i="6"/>
  <c r="AC68" i="6"/>
  <c r="AB68" i="6"/>
  <c r="AA68" i="6"/>
  <c r="AH67" i="6"/>
  <c r="AG67" i="6"/>
  <c r="AF67" i="6"/>
  <c r="AD67" i="6"/>
  <c r="AC67" i="6"/>
  <c r="AB67" i="6"/>
  <c r="AA67" i="6"/>
  <c r="AH66" i="6"/>
  <c r="AG66" i="6"/>
  <c r="AF66" i="6"/>
  <c r="AD66" i="6"/>
  <c r="AC66" i="6"/>
  <c r="AB66" i="6"/>
  <c r="AA66" i="6"/>
  <c r="AH65" i="6"/>
  <c r="AG65" i="6"/>
  <c r="AF65" i="6"/>
  <c r="AD65" i="6"/>
  <c r="AC65" i="6"/>
  <c r="AB65" i="6"/>
  <c r="AA65" i="6"/>
  <c r="AH64" i="6"/>
  <c r="AG64" i="6"/>
  <c r="AF64" i="6"/>
  <c r="AD64" i="6"/>
  <c r="AC64" i="6"/>
  <c r="AB64" i="6"/>
  <c r="AA64" i="6"/>
  <c r="AH63" i="6"/>
  <c r="AG63" i="6"/>
  <c r="AF63" i="6"/>
  <c r="AD63" i="6"/>
  <c r="AC63" i="6"/>
  <c r="AB63" i="6"/>
  <c r="AA63" i="6"/>
  <c r="AH62" i="6"/>
  <c r="AG62" i="6"/>
  <c r="AF62" i="6"/>
  <c r="AD62" i="6"/>
  <c r="AC62" i="6"/>
  <c r="AB62" i="6"/>
  <c r="AA62" i="6"/>
  <c r="AH61" i="6"/>
  <c r="AG61" i="6"/>
  <c r="AF61" i="6"/>
  <c r="AD61" i="6"/>
  <c r="AC61" i="6"/>
  <c r="AB61" i="6"/>
  <c r="AA61" i="6"/>
  <c r="AH60" i="6"/>
  <c r="AG60" i="6"/>
  <c r="AF60" i="6"/>
  <c r="AD60" i="6"/>
  <c r="AC60" i="6"/>
  <c r="AB60" i="6"/>
  <c r="AA60" i="6"/>
  <c r="AH59" i="6"/>
  <c r="AG59" i="6"/>
  <c r="AF59" i="6"/>
  <c r="AD59" i="6"/>
  <c r="AC59" i="6"/>
  <c r="AB59" i="6"/>
  <c r="AA59" i="6"/>
  <c r="AH58" i="6"/>
  <c r="AG58" i="6"/>
  <c r="AF58" i="6"/>
  <c r="AD58" i="6"/>
  <c r="AC58" i="6"/>
  <c r="AB58" i="6"/>
  <c r="AA58" i="6"/>
  <c r="AH57" i="6"/>
  <c r="AG57" i="6"/>
  <c r="AF57" i="6"/>
  <c r="AD57" i="6"/>
  <c r="AC57" i="6"/>
  <c r="AB57" i="6"/>
  <c r="AA57" i="6"/>
  <c r="AH56" i="6"/>
  <c r="AG56" i="6"/>
  <c r="AF56" i="6"/>
  <c r="AD56" i="6"/>
  <c r="AC56" i="6"/>
  <c r="AB56" i="6"/>
  <c r="AA56" i="6"/>
  <c r="AH55" i="6"/>
  <c r="AG55" i="6"/>
  <c r="AF55" i="6"/>
  <c r="AD55" i="6"/>
  <c r="AC55" i="6"/>
  <c r="AB55" i="6"/>
  <c r="AA55" i="6"/>
  <c r="AH54" i="6"/>
  <c r="AG54" i="6"/>
  <c r="AF54" i="6"/>
  <c r="AD54" i="6"/>
  <c r="AC54" i="6"/>
  <c r="AB54" i="6"/>
  <c r="AA54" i="6"/>
  <c r="AH53" i="6"/>
  <c r="AG53" i="6"/>
  <c r="AF53" i="6"/>
  <c r="AD53" i="6"/>
  <c r="AC53" i="6"/>
  <c r="AB53" i="6"/>
  <c r="AA53" i="6"/>
  <c r="AH52" i="6"/>
  <c r="AG52" i="6"/>
  <c r="AF52" i="6"/>
  <c r="AD52" i="6"/>
  <c r="AC52" i="6"/>
  <c r="AB52" i="6"/>
  <c r="AA52" i="6"/>
  <c r="AH51" i="6"/>
  <c r="AG51" i="6"/>
  <c r="AF51" i="6"/>
  <c r="AD51" i="6"/>
  <c r="AC51" i="6"/>
  <c r="AB51" i="6"/>
  <c r="AA51" i="6"/>
  <c r="AH50" i="6"/>
  <c r="AG50" i="6"/>
  <c r="AF50" i="6"/>
  <c r="AD50" i="6"/>
  <c r="AC50" i="6"/>
  <c r="AB50" i="6"/>
  <c r="AA50" i="6"/>
  <c r="AH49" i="6"/>
  <c r="AG49" i="6"/>
  <c r="AF49" i="6"/>
  <c r="AD49" i="6"/>
  <c r="AC49" i="6"/>
  <c r="AB49" i="6"/>
  <c r="AA49" i="6"/>
  <c r="AH48" i="6"/>
  <c r="AG48" i="6"/>
  <c r="AF48" i="6"/>
  <c r="AD48" i="6"/>
  <c r="AC48" i="6"/>
  <c r="AB48" i="6"/>
  <c r="AA48" i="6"/>
  <c r="AH47" i="6"/>
  <c r="AG47" i="6"/>
  <c r="AF47" i="6"/>
  <c r="AD47" i="6"/>
  <c r="AC47" i="6"/>
  <c r="AB47" i="6"/>
  <c r="AA47" i="6"/>
  <c r="AH46" i="6"/>
  <c r="AG46" i="6"/>
  <c r="AF46" i="6"/>
  <c r="AD46" i="6"/>
  <c r="AC46" i="6"/>
  <c r="AB46" i="6"/>
  <c r="AA46" i="6"/>
  <c r="AH45" i="6"/>
  <c r="AG45" i="6"/>
  <c r="AF45" i="6"/>
  <c r="AD45" i="6"/>
  <c r="AC45" i="6"/>
  <c r="AB45" i="6"/>
  <c r="AA45" i="6"/>
  <c r="AH44" i="6"/>
  <c r="AG44" i="6"/>
  <c r="AF44" i="6"/>
  <c r="AD44" i="6"/>
  <c r="AC44" i="6"/>
  <c r="AB44" i="6"/>
  <c r="AA44" i="6"/>
  <c r="AH43" i="6"/>
  <c r="AG43" i="6"/>
  <c r="AF43" i="6"/>
  <c r="AD43" i="6"/>
  <c r="AC43" i="6"/>
  <c r="AB43" i="6"/>
  <c r="AA43" i="6"/>
  <c r="AH42" i="6"/>
  <c r="AG42" i="6"/>
  <c r="AF42" i="6"/>
  <c r="AD42" i="6"/>
  <c r="AC42" i="6"/>
  <c r="AB42" i="6"/>
  <c r="AA42" i="6"/>
  <c r="AH41" i="6"/>
  <c r="AG41" i="6"/>
  <c r="AF41" i="6"/>
  <c r="AD41" i="6"/>
  <c r="AC41" i="6"/>
  <c r="AB41" i="6"/>
  <c r="AA41" i="6"/>
  <c r="AH40" i="6"/>
  <c r="AG40" i="6"/>
  <c r="AF40" i="6"/>
  <c r="AD40" i="6"/>
  <c r="AC40" i="6"/>
  <c r="AB40" i="6"/>
  <c r="AA40" i="6"/>
  <c r="AH39" i="6"/>
  <c r="AG39" i="6"/>
  <c r="AF39" i="6"/>
  <c r="AD39" i="6"/>
  <c r="AC39" i="6"/>
  <c r="AB39" i="6"/>
  <c r="AA39" i="6"/>
  <c r="AH38" i="6"/>
  <c r="AG38" i="6"/>
  <c r="AF38" i="6"/>
  <c r="AD38" i="6"/>
  <c r="AC38" i="6"/>
  <c r="AB38" i="6"/>
  <c r="AA38" i="6"/>
  <c r="AH37" i="6"/>
  <c r="AG37" i="6"/>
  <c r="AF37" i="6"/>
  <c r="AD37" i="6"/>
  <c r="AC37" i="6"/>
  <c r="AB37" i="6"/>
  <c r="AA37" i="6"/>
  <c r="AH36" i="6"/>
  <c r="AG36" i="6"/>
  <c r="AF36" i="6"/>
  <c r="AD36" i="6"/>
  <c r="AC36" i="6"/>
  <c r="AB36" i="6"/>
  <c r="AA36" i="6"/>
  <c r="AH35" i="6"/>
  <c r="AG35" i="6"/>
  <c r="AF35" i="6"/>
  <c r="AD35" i="6"/>
  <c r="AC35" i="6"/>
  <c r="AB35" i="6"/>
  <c r="AA35" i="6"/>
  <c r="AH34" i="6"/>
  <c r="AG34" i="6"/>
  <c r="AF34" i="6"/>
  <c r="AD34" i="6"/>
  <c r="AC34" i="6"/>
  <c r="AB34" i="6"/>
  <c r="AA34" i="6"/>
  <c r="AA33" i="6"/>
  <c r="AA32" i="6"/>
  <c r="AA31" i="6"/>
  <c r="AA30" i="6"/>
  <c r="AA29" i="6"/>
  <c r="AA28" i="6"/>
  <c r="AA27" i="6"/>
  <c r="AA26" i="6"/>
  <c r="AA25" i="6"/>
  <c r="AA24" i="6"/>
  <c r="AA23" i="6"/>
  <c r="AA22" i="6"/>
  <c r="AA21" i="6"/>
  <c r="AA20" i="6"/>
  <c r="AA19" i="6"/>
  <c r="AA18" i="6"/>
  <c r="AA17" i="6"/>
  <c r="AA16" i="6"/>
  <c r="AA15" i="6"/>
  <c r="AA14" i="6"/>
  <c r="AA13" i="6"/>
  <c r="AA12" i="6"/>
  <c r="AA11" i="6"/>
  <c r="AA10" i="6"/>
  <c r="AD2" i="6"/>
  <c r="AD5" i="6" s="1"/>
  <c r="K8" i="9" l="1"/>
  <c r="P8" i="9"/>
  <c r="O8" i="9" s="1"/>
  <c r="K17" i="9"/>
  <c r="N17" i="9" s="1"/>
  <c r="P17" i="9"/>
  <c r="O17" i="9" s="1"/>
  <c r="O20" i="8"/>
  <c r="AD4" i="6"/>
  <c r="P20" i="9"/>
  <c r="O20" i="9" s="1"/>
  <c r="N18" i="9"/>
  <c r="P31" i="9"/>
  <c r="O31" i="9" s="1"/>
  <c r="O16" i="8"/>
  <c r="O15" i="8"/>
  <c r="Q13" i="8"/>
  <c r="P13" i="8" s="1"/>
  <c r="Q9" i="8"/>
  <c r="P9" i="8" s="1"/>
  <c r="AB10" i="8" s="1"/>
  <c r="O24" i="8"/>
  <c r="K24" i="9"/>
  <c r="N24" i="9" s="1"/>
  <c r="P24" i="9"/>
  <c r="O24" i="9" s="1"/>
  <c r="P25" i="9"/>
  <c r="O25" i="9" s="1"/>
  <c r="K25" i="9"/>
  <c r="N25" i="9" s="1"/>
  <c r="O12" i="8"/>
  <c r="Q25" i="8"/>
  <c r="P25" i="8" s="1"/>
  <c r="N8" i="9"/>
  <c r="P15" i="9"/>
  <c r="O15" i="9" s="1"/>
  <c r="P27" i="9"/>
  <c r="O27" i="9" s="1"/>
  <c r="P22" i="9"/>
  <c r="O22" i="9" s="1"/>
  <c r="P11" i="9"/>
  <c r="O11" i="9" s="1"/>
  <c r="O9" i="8"/>
  <c r="AB9" i="8" s="1"/>
  <c r="K28" i="9"/>
  <c r="N28" i="9" s="1"/>
  <c r="N21" i="9"/>
  <c r="K21" i="9"/>
  <c r="P21" i="9" s="1"/>
  <c r="O21" i="9" s="1"/>
  <c r="AD11" i="9"/>
  <c r="P29" i="9"/>
  <c r="O29" i="9" s="1"/>
  <c r="N32" i="9"/>
  <c r="P14" i="9"/>
  <c r="O14" i="9" s="1"/>
  <c r="P12" i="9"/>
  <c r="O12" i="9" s="1"/>
  <c r="O11" i="10"/>
  <c r="O10" i="10"/>
  <c r="O30" i="10"/>
  <c r="O13" i="10"/>
  <c r="O24" i="10"/>
  <c r="Q33" i="10"/>
  <c r="P33" i="10" s="1"/>
  <c r="O20" i="10"/>
  <c r="Q22" i="10"/>
  <c r="P22" i="10" s="1"/>
  <c r="Q25" i="10"/>
  <c r="P25" i="10" s="1"/>
  <c r="O32" i="10"/>
  <c r="Q9" i="10"/>
  <c r="P9" i="10" s="1"/>
  <c r="AB10" i="10" s="1"/>
  <c r="Q27" i="10"/>
  <c r="P27" i="10" s="1"/>
  <c r="Q14" i="10"/>
  <c r="P14" i="10" s="1"/>
  <c r="Q15" i="10"/>
  <c r="P15" i="10" s="1"/>
  <c r="O26" i="10"/>
  <c r="Q28" i="10"/>
  <c r="P28" i="10" s="1"/>
  <c r="O23" i="10"/>
  <c r="Q16" i="10"/>
  <c r="P16" i="10" s="1"/>
  <c r="Q29" i="10"/>
  <c r="P29" i="10" s="1"/>
  <c r="Q19" i="10"/>
  <c r="P19" i="10" s="1"/>
  <c r="Q21" i="10"/>
  <c r="P21" i="10" s="1"/>
  <c r="Q31" i="10"/>
  <c r="P31" i="10" s="1"/>
  <c r="X12" i="8"/>
  <c r="X12" i="13"/>
  <c r="Q12" i="13"/>
  <c r="AF15" i="7"/>
  <c r="AG15" i="7" s="1"/>
  <c r="AF9" i="6"/>
  <c r="AB9" i="6"/>
  <c r="AD3" i="6"/>
  <c r="AB33" i="6"/>
  <c r="AG9" i="6"/>
  <c r="AF28" i="6"/>
  <c r="AG28" i="6" s="1"/>
  <c r="AB33" i="7"/>
  <c r="AF9" i="7"/>
  <c r="AG9" i="7" s="1"/>
  <c r="AB10" i="7"/>
  <c r="AB11" i="7"/>
  <c r="AB12" i="7"/>
  <c r="AB13" i="7"/>
  <c r="AB14" i="7"/>
  <c r="AB15" i="7"/>
  <c r="AF16" i="7"/>
  <c r="AF17" i="7"/>
  <c r="AF18" i="7"/>
  <c r="AF19" i="7"/>
  <c r="AF20" i="7"/>
  <c r="AF21" i="7"/>
  <c r="AB23" i="7"/>
  <c r="AB24" i="7"/>
  <c r="AB25" i="7"/>
  <c r="AB26" i="7"/>
  <c r="AB27" i="7"/>
  <c r="AB28" i="7"/>
  <c r="AB29" i="7"/>
  <c r="AB30" i="7"/>
  <c r="AB31" i="7"/>
  <c r="AF32" i="7"/>
  <c r="AF33" i="7"/>
  <c r="AB9" i="7"/>
  <c r="AT9" i="7" s="1"/>
  <c r="AF10" i="7"/>
  <c r="AF11" i="7"/>
  <c r="AF12" i="7"/>
  <c r="AF13" i="7"/>
  <c r="AF14" i="7"/>
  <c r="AB16" i="7"/>
  <c r="AB17" i="7"/>
  <c r="AB18" i="7"/>
  <c r="AB19" i="7"/>
  <c r="AB20" i="7"/>
  <c r="AB21" i="7"/>
  <c r="AB22" i="7"/>
  <c r="AF22" i="7"/>
  <c r="AF23" i="7"/>
  <c r="AF24" i="7"/>
  <c r="AF25" i="7"/>
  <c r="AF26" i="7"/>
  <c r="AF27" i="7"/>
  <c r="AF28" i="7"/>
  <c r="AF29" i="7"/>
  <c r="AF30" i="7"/>
  <c r="AF31" i="7"/>
  <c r="AB32" i="7"/>
  <c r="AB11" i="6"/>
  <c r="AB15" i="6"/>
  <c r="AF19" i="6"/>
  <c r="AG19" i="6" s="1"/>
  <c r="AB24" i="6"/>
  <c r="AF32" i="6"/>
  <c r="AG32" i="6" s="1"/>
  <c r="AF10" i="6"/>
  <c r="AG10" i="6" s="1"/>
  <c r="AF11" i="6"/>
  <c r="AG11" i="6" s="1"/>
  <c r="AF12" i="6"/>
  <c r="AG12" i="6" s="1"/>
  <c r="AF13" i="6"/>
  <c r="AG13" i="6" s="1"/>
  <c r="AB14" i="6"/>
  <c r="AF15" i="6"/>
  <c r="AG15" i="6" s="1"/>
  <c r="AF16" i="6"/>
  <c r="AG16" i="6" s="1"/>
  <c r="AF17" i="6"/>
  <c r="AG17" i="6" s="1"/>
  <c r="AB19" i="6"/>
  <c r="AF20" i="6"/>
  <c r="AG20" i="6" s="1"/>
  <c r="AF21" i="6"/>
  <c r="AG21" i="6" s="1"/>
  <c r="AF22" i="6"/>
  <c r="AG22" i="6" s="1"/>
  <c r="AF23" i="6"/>
  <c r="AG23" i="6" s="1"/>
  <c r="AB25" i="6"/>
  <c r="AB26" i="6"/>
  <c r="AB27" i="6"/>
  <c r="AB28" i="6"/>
  <c r="AB29" i="6"/>
  <c r="AF29" i="6"/>
  <c r="AG29" i="6" s="1"/>
  <c r="AF30" i="6"/>
  <c r="AG30" i="6" s="1"/>
  <c r="AF31" i="6"/>
  <c r="AG31" i="6" s="1"/>
  <c r="AF33" i="6"/>
  <c r="AG33" i="6" s="1"/>
  <c r="AB10" i="6"/>
  <c r="AB12" i="6"/>
  <c r="AB13" i="6"/>
  <c r="AF14" i="6"/>
  <c r="AG14" i="6" s="1"/>
  <c r="AB16" i="6"/>
  <c r="AB17" i="6"/>
  <c r="AB18" i="6"/>
  <c r="AF18" i="6"/>
  <c r="AG18" i="6" s="1"/>
  <c r="AB20" i="6"/>
  <c r="AB21" i="6"/>
  <c r="AB22" i="6"/>
  <c r="AB23" i="6"/>
  <c r="AF24" i="6"/>
  <c r="AG24" i="6" s="1"/>
  <c r="AF25" i="6"/>
  <c r="AG25" i="6" s="1"/>
  <c r="AF26" i="6"/>
  <c r="AG26" i="6" s="1"/>
  <c r="AF27" i="6"/>
  <c r="AG27" i="6" s="1"/>
  <c r="AB30" i="6"/>
  <c r="AB31" i="6"/>
  <c r="AB32" i="6"/>
  <c r="AD2" i="1"/>
  <c r="AA11" i="1"/>
  <c r="AA15" i="1"/>
  <c r="AE9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A10" i="1"/>
  <c r="P28" i="9" l="1"/>
  <c r="O28" i="9" s="1"/>
  <c r="AE12" i="8"/>
  <c r="AH15" i="7"/>
  <c r="AG12" i="7"/>
  <c r="AH12" i="7"/>
  <c r="AG20" i="7"/>
  <c r="AH20" i="7"/>
  <c r="AG16" i="7"/>
  <c r="AH16" i="7"/>
  <c r="AG31" i="7"/>
  <c r="AH31" i="7"/>
  <c r="AG27" i="7"/>
  <c r="AH27" i="7"/>
  <c r="AG23" i="7"/>
  <c r="AH23" i="7"/>
  <c r="AG11" i="7"/>
  <c r="AH11" i="7"/>
  <c r="AG32" i="7"/>
  <c r="AH32" i="7"/>
  <c r="AG19" i="7"/>
  <c r="AH19" i="7"/>
  <c r="AG28" i="7"/>
  <c r="AH28" i="7"/>
  <c r="AH26" i="7"/>
  <c r="AG26" i="7"/>
  <c r="AH22" i="7"/>
  <c r="AG22" i="7"/>
  <c r="AH14" i="7"/>
  <c r="AG14" i="7"/>
  <c r="AH10" i="7"/>
  <c r="AG10" i="7"/>
  <c r="AH18" i="7"/>
  <c r="AG18" i="7"/>
  <c r="AG24" i="7"/>
  <c r="AH24" i="7"/>
  <c r="AH33" i="7"/>
  <c r="AG33" i="7"/>
  <c r="AH30" i="7"/>
  <c r="AG30" i="7"/>
  <c r="AH29" i="7"/>
  <c r="AG29" i="7"/>
  <c r="AH25" i="7"/>
  <c r="AG25" i="7"/>
  <c r="AH13" i="7"/>
  <c r="AG13" i="7"/>
  <c r="AH21" i="7"/>
  <c r="AG21" i="7"/>
  <c r="AG17" i="7"/>
  <c r="AH17" i="7"/>
  <c r="AC9" i="7"/>
  <c r="AQ9" i="7" s="1"/>
  <c r="AD9" i="7"/>
  <c r="AC9" i="6"/>
  <c r="AM9" i="6" s="1"/>
  <c r="AX9" i="7"/>
  <c r="AH9" i="7"/>
  <c r="AX10" i="7" s="1"/>
  <c r="AC10" i="7"/>
  <c r="AC20" i="7"/>
  <c r="AD20" i="7"/>
  <c r="AC16" i="7"/>
  <c r="AD16" i="7"/>
  <c r="AC28" i="7"/>
  <c r="AD28" i="7"/>
  <c r="AC24" i="7"/>
  <c r="AD24" i="7"/>
  <c r="AC15" i="7"/>
  <c r="AD15" i="7"/>
  <c r="AC11" i="7"/>
  <c r="AD11" i="7"/>
  <c r="AC19" i="7"/>
  <c r="AD19" i="7"/>
  <c r="AC31" i="7"/>
  <c r="AD31" i="7"/>
  <c r="AC27" i="7"/>
  <c r="AD27" i="7"/>
  <c r="AC23" i="7"/>
  <c r="AD23" i="7"/>
  <c r="AD14" i="7"/>
  <c r="AC14" i="7"/>
  <c r="AD10" i="7"/>
  <c r="AQ10" i="7" s="1"/>
  <c r="AD22" i="7"/>
  <c r="AC22" i="7"/>
  <c r="AD18" i="7"/>
  <c r="AC18" i="7"/>
  <c r="AD30" i="7"/>
  <c r="AC30" i="7"/>
  <c r="AD26" i="7"/>
  <c r="AC26" i="7"/>
  <c r="AD13" i="7"/>
  <c r="AC13" i="7"/>
  <c r="AC32" i="7"/>
  <c r="AD32" i="7"/>
  <c r="AC21" i="7"/>
  <c r="AD21" i="7"/>
  <c r="AD17" i="7"/>
  <c r="AC17" i="7"/>
  <c r="AD33" i="7"/>
  <c r="AD29" i="7"/>
  <c r="AC29" i="7"/>
  <c r="AD25" i="7"/>
  <c r="AC25" i="7"/>
  <c r="AC12" i="7"/>
  <c r="AD12" i="7"/>
  <c r="AC33" i="7"/>
  <c r="AD33" i="6"/>
  <c r="AC10" i="6"/>
  <c r="AD9" i="6"/>
  <c r="AM10" i="6" s="1"/>
  <c r="AT10" i="7"/>
  <c r="BA10" i="7"/>
  <c r="BA9" i="7"/>
  <c r="AD17" i="6"/>
  <c r="AC17" i="6"/>
  <c r="AD29" i="6"/>
  <c r="AC29" i="6"/>
  <c r="AD25" i="6"/>
  <c r="AC25" i="6"/>
  <c r="AD24" i="6"/>
  <c r="AC24" i="6"/>
  <c r="AD30" i="6"/>
  <c r="AC30" i="6"/>
  <c r="AD20" i="6"/>
  <c r="AC20" i="6"/>
  <c r="AD16" i="6"/>
  <c r="AC16" i="6"/>
  <c r="AD10" i="6"/>
  <c r="AP10" i="6"/>
  <c r="AD28" i="6"/>
  <c r="AC28" i="6"/>
  <c r="AD19" i="6"/>
  <c r="AC19" i="6"/>
  <c r="AD14" i="6"/>
  <c r="AC14" i="6"/>
  <c r="AC33" i="6"/>
  <c r="AD31" i="6"/>
  <c r="AC31" i="6"/>
  <c r="AD21" i="6"/>
  <c r="AC21" i="6"/>
  <c r="AD12" i="6"/>
  <c r="AC12" i="6"/>
  <c r="AD23" i="6"/>
  <c r="AC23" i="6"/>
  <c r="AP9" i="6"/>
  <c r="AP12" i="6" s="1"/>
  <c r="AD27" i="6"/>
  <c r="AC27" i="6"/>
  <c r="AD15" i="6"/>
  <c r="AC15" i="6"/>
  <c r="AW10" i="6"/>
  <c r="AW9" i="6"/>
  <c r="AW12" i="6" s="1"/>
  <c r="AD32" i="6"/>
  <c r="AC32" i="6"/>
  <c r="AD22" i="6"/>
  <c r="AC22" i="6"/>
  <c r="AD18" i="6"/>
  <c r="AC18" i="6"/>
  <c r="AD13" i="6"/>
  <c r="AC13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AT10" i="6" s="1"/>
  <c r="AD26" i="6"/>
  <c r="AC26" i="6"/>
  <c r="AD11" i="6"/>
  <c r="AC11" i="6"/>
  <c r="AT9" i="6"/>
  <c r="AA13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E11" i="1"/>
  <c r="AA12" i="1"/>
  <c r="AA14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B46" i="1" s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BA12" i="7" l="1"/>
  <c r="AT12" i="7"/>
  <c r="AB45" i="1"/>
  <c r="AB48" i="1"/>
  <c r="AB44" i="1"/>
  <c r="AB38" i="1"/>
  <c r="AB34" i="1"/>
  <c r="AB42" i="1"/>
  <c r="AB37" i="1"/>
  <c r="AB35" i="1"/>
  <c r="AB41" i="1"/>
  <c r="AB40" i="1"/>
  <c r="AB36" i="1"/>
  <c r="AB43" i="1"/>
  <c r="AB39" i="1"/>
  <c r="AB9" i="1"/>
  <c r="AP9" i="1" s="1"/>
  <c r="AB14" i="1"/>
  <c r="AB30" i="1"/>
  <c r="AB18" i="1"/>
  <c r="AB26" i="1"/>
  <c r="AB10" i="1"/>
  <c r="AB22" i="1"/>
  <c r="AB11" i="1"/>
  <c r="AB33" i="1"/>
  <c r="AB29" i="1"/>
  <c r="AB25" i="1"/>
  <c r="AB21" i="1"/>
  <c r="AB17" i="1"/>
  <c r="AB13" i="1"/>
  <c r="AB32" i="1"/>
  <c r="AB28" i="1"/>
  <c r="AB24" i="1"/>
  <c r="AB20" i="1"/>
  <c r="AB16" i="1"/>
  <c r="AB12" i="1"/>
  <c r="AB31" i="1"/>
  <c r="AB27" i="1"/>
  <c r="AB23" i="1"/>
  <c r="AB19" i="1"/>
  <c r="AB15" i="1"/>
  <c r="AP10" i="1" l="1"/>
  <c r="AP12" i="1" s="1"/>
  <c r="AD3" i="1" l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0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F44" i="1" l="1"/>
  <c r="AF48" i="1"/>
  <c r="AD48" i="1" s="1"/>
  <c r="AF46" i="1"/>
  <c r="AD46" i="1" s="1"/>
  <c r="AF47" i="1"/>
  <c r="AF45" i="1"/>
  <c r="AC45" i="1" s="1"/>
  <c r="AD44" i="1"/>
  <c r="AC44" i="1"/>
  <c r="AC48" i="1"/>
  <c r="AF34" i="1"/>
  <c r="AD34" i="1" s="1"/>
  <c r="AF38" i="1"/>
  <c r="AC38" i="1" s="1"/>
  <c r="AF42" i="1"/>
  <c r="AD42" i="1" s="1"/>
  <c r="AF35" i="1"/>
  <c r="AD35" i="1" s="1"/>
  <c r="AF39" i="1"/>
  <c r="AC39" i="1" s="1"/>
  <c r="AF43" i="1"/>
  <c r="AD43" i="1" s="1"/>
  <c r="AF36" i="1"/>
  <c r="AC36" i="1" s="1"/>
  <c r="AF40" i="1"/>
  <c r="AC40" i="1" s="1"/>
  <c r="AF37" i="1"/>
  <c r="AD37" i="1" s="1"/>
  <c r="AF41" i="1"/>
  <c r="AC41" i="1" s="1"/>
  <c r="AC42" i="1"/>
  <c r="AF9" i="1"/>
  <c r="AC9" i="1" s="1"/>
  <c r="AF13" i="1"/>
  <c r="AF17" i="1"/>
  <c r="AF21" i="1"/>
  <c r="AF25" i="1"/>
  <c r="AF29" i="1"/>
  <c r="AF33" i="1"/>
  <c r="AF10" i="1"/>
  <c r="AC10" i="1" s="1"/>
  <c r="AF14" i="1"/>
  <c r="AF18" i="1"/>
  <c r="AF22" i="1"/>
  <c r="AF26" i="1"/>
  <c r="AF30" i="1"/>
  <c r="AF11" i="1"/>
  <c r="AF15" i="1"/>
  <c r="AF19" i="1"/>
  <c r="AF23" i="1"/>
  <c r="AF27" i="1"/>
  <c r="AF31" i="1"/>
  <c r="AF12" i="1"/>
  <c r="AF16" i="1"/>
  <c r="AF20" i="1"/>
  <c r="AF24" i="1"/>
  <c r="AF28" i="1"/>
  <c r="AF32" i="1"/>
  <c r="AC46" i="1" l="1"/>
  <c r="AC34" i="1"/>
  <c r="AC43" i="1"/>
  <c r="AD38" i="1"/>
  <c r="AD45" i="1"/>
  <c r="AD41" i="1"/>
  <c r="AD40" i="1"/>
  <c r="AC35" i="1"/>
  <c r="AD39" i="1"/>
  <c r="AC37" i="1"/>
  <c r="AD36" i="1"/>
  <c r="AD9" i="1"/>
  <c r="AD32" i="1"/>
  <c r="AC32" i="1"/>
  <c r="AC23" i="1"/>
  <c r="AD23" i="1"/>
  <c r="AC14" i="1"/>
  <c r="AD14" i="1"/>
  <c r="AD28" i="1"/>
  <c r="AC28" i="1"/>
  <c r="AD19" i="1"/>
  <c r="AC19" i="1"/>
  <c r="AD10" i="1"/>
  <c r="AD24" i="1"/>
  <c r="AC24" i="1"/>
  <c r="AD15" i="1"/>
  <c r="AC15" i="1"/>
  <c r="AC33" i="1"/>
  <c r="AD33" i="1"/>
  <c r="AC17" i="1"/>
  <c r="AD17" i="1"/>
  <c r="AD16" i="1"/>
  <c r="AC16" i="1"/>
  <c r="AC30" i="1"/>
  <c r="AD30" i="1"/>
  <c r="AC25" i="1"/>
  <c r="AD25" i="1"/>
  <c r="AD12" i="1"/>
  <c r="AC12" i="1"/>
  <c r="AC26" i="1"/>
  <c r="AD26" i="1"/>
  <c r="AC21" i="1"/>
  <c r="AD21" i="1"/>
  <c r="AC31" i="1"/>
  <c r="AD31" i="1"/>
  <c r="AC22" i="1"/>
  <c r="AD22" i="1"/>
  <c r="AD20" i="1"/>
  <c r="AC20" i="1"/>
  <c r="AD27" i="1"/>
  <c r="AC27" i="1"/>
  <c r="AC11" i="1"/>
  <c r="AD11" i="1"/>
  <c r="AC18" i="1"/>
  <c r="AD18" i="1"/>
  <c r="AC29" i="1"/>
  <c r="AD29" i="1"/>
  <c r="AC13" i="1"/>
  <c r="AD13" i="1"/>
  <c r="AW10" i="1"/>
  <c r="AW9" i="1"/>
  <c r="AM9" i="1"/>
  <c r="AW12" i="1" l="1"/>
  <c r="AD5" i="1"/>
  <c r="AD4" i="1"/>
  <c r="AH46" i="1" l="1"/>
  <c r="AH44" i="1"/>
  <c r="AH48" i="1"/>
  <c r="AH45" i="1"/>
  <c r="AH47" i="1"/>
  <c r="AG45" i="1"/>
  <c r="AG47" i="1"/>
  <c r="AG44" i="1"/>
  <c r="AG48" i="1"/>
  <c r="AG46" i="1"/>
  <c r="AH36" i="1"/>
  <c r="AH40" i="1"/>
  <c r="AH37" i="1"/>
  <c r="AH41" i="1"/>
  <c r="AH34" i="1"/>
  <c r="AH38" i="1"/>
  <c r="AH42" i="1"/>
  <c r="AH35" i="1"/>
  <c r="AH39" i="1"/>
  <c r="AH43" i="1"/>
  <c r="AG37" i="1"/>
  <c r="AG41" i="1"/>
  <c r="AG34" i="1"/>
  <c r="AG38" i="1"/>
  <c r="AG42" i="1"/>
  <c r="AG35" i="1"/>
  <c r="AG39" i="1"/>
  <c r="AG43" i="1"/>
  <c r="AG36" i="1"/>
  <c r="AG40" i="1"/>
  <c r="AG9" i="1"/>
  <c r="AT9" i="1" s="1"/>
  <c r="AG10" i="1"/>
  <c r="AH10" i="1"/>
  <c r="AH9" i="1"/>
  <c r="AT10" i="1" s="1"/>
  <c r="AH15" i="1"/>
  <c r="AH25" i="1"/>
  <c r="AH22" i="1"/>
  <c r="AH11" i="1"/>
  <c r="AH17" i="1"/>
  <c r="AH30" i="1"/>
  <c r="AH29" i="1"/>
  <c r="AH28" i="1"/>
  <c r="AH12" i="1"/>
  <c r="AH20" i="1"/>
  <c r="AH16" i="1"/>
  <c r="AH19" i="1"/>
  <c r="AH18" i="1"/>
  <c r="AH26" i="1"/>
  <c r="AH31" i="1"/>
  <c r="AH21" i="1"/>
  <c r="AH27" i="1"/>
  <c r="AH33" i="1"/>
  <c r="AH23" i="1"/>
  <c r="AH14" i="1"/>
  <c r="AH13" i="1"/>
  <c r="AH24" i="1"/>
  <c r="AH32" i="1"/>
  <c r="AG28" i="1"/>
  <c r="AG12" i="1"/>
  <c r="AG20" i="1"/>
  <c r="AG16" i="1"/>
  <c r="AG15" i="1"/>
  <c r="AG25" i="1"/>
  <c r="AG22" i="1"/>
  <c r="AG11" i="1"/>
  <c r="AG17" i="1"/>
  <c r="AG30" i="1"/>
  <c r="AG29" i="1"/>
  <c r="AG24" i="1"/>
  <c r="AG32" i="1"/>
  <c r="AG19" i="1"/>
  <c r="AG18" i="1"/>
  <c r="AG26" i="1"/>
  <c r="AG31" i="1"/>
  <c r="AG21" i="1"/>
  <c r="AG27" i="1"/>
  <c r="AG33" i="1"/>
  <c r="AG23" i="1"/>
  <c r="AG14" i="1"/>
  <c r="AG13" i="1"/>
  <c r="AM10" i="1"/>
</calcChain>
</file>

<file path=xl/sharedStrings.xml><?xml version="1.0" encoding="utf-8"?>
<sst xmlns="http://schemas.openxmlformats.org/spreadsheetml/2006/main" count="365" uniqueCount="85">
  <si>
    <t># muestras</t>
  </si>
  <si>
    <t>OBSERVACIONES</t>
  </si>
  <si>
    <t>Muestras (K)</t>
  </si>
  <si>
    <t>Tamaño de la muestra</t>
  </si>
  <si>
    <t>CONSTANTES</t>
  </si>
  <si>
    <t>LCS</t>
  </si>
  <si>
    <t>LCI</t>
  </si>
  <si>
    <t>S</t>
  </si>
  <si>
    <t>n</t>
  </si>
  <si>
    <t>Diagramas x</t>
  </si>
  <si>
    <t>Diagramas s</t>
  </si>
  <si>
    <t>Diagramas R</t>
  </si>
  <si>
    <t>FACTORES PARA LOS DIAGRAMAS DE CONTROL</t>
  </si>
  <si>
    <t>Factores</t>
  </si>
  <si>
    <t>DATOS MEDIAS</t>
  </si>
  <si>
    <t>LC (X̿)</t>
  </si>
  <si>
    <t>PROM(X̅)</t>
  </si>
  <si>
    <t>PROM (S̅)</t>
  </si>
  <si>
    <t>DATOS DESVIACIÓN ESTÁNDAR</t>
  </si>
  <si>
    <r>
      <t>A</t>
    </r>
    <r>
      <rPr>
        <b/>
        <sz val="8"/>
        <color rgb="FF231F20"/>
        <rFont val="MinionPro-Medium"/>
      </rPr>
      <t xml:space="preserve">3 </t>
    </r>
  </si>
  <si>
    <r>
      <t>B</t>
    </r>
    <r>
      <rPr>
        <b/>
        <sz val="8"/>
        <color rgb="FF231F20"/>
        <rFont val="MinionPro-Medium"/>
      </rPr>
      <t>3</t>
    </r>
  </si>
  <si>
    <r>
      <t>B</t>
    </r>
    <r>
      <rPr>
        <b/>
        <sz val="8"/>
        <color rgb="FF231F20"/>
        <rFont val="MinionPro-Medium"/>
      </rPr>
      <t xml:space="preserve">4 </t>
    </r>
  </si>
  <si>
    <r>
      <t>D</t>
    </r>
    <r>
      <rPr>
        <b/>
        <sz val="8"/>
        <color rgb="FF231F20"/>
        <rFont val="MinionPro-Medium"/>
      </rPr>
      <t>3</t>
    </r>
  </si>
  <si>
    <r>
      <t>D</t>
    </r>
    <r>
      <rPr>
        <b/>
        <sz val="8"/>
        <color rgb="FF231F20"/>
        <rFont val="MinionPro-Medium"/>
      </rPr>
      <t xml:space="preserve">4 </t>
    </r>
  </si>
  <si>
    <t>R</t>
  </si>
  <si>
    <t>PROM (R̅)</t>
  </si>
  <si>
    <t>#00010418</t>
  </si>
  <si>
    <t>INICIO</t>
  </si>
  <si>
    <t>SIGUIENTE</t>
  </si>
  <si>
    <t>ATRÁS</t>
  </si>
  <si>
    <t>RESULTADOS</t>
  </si>
  <si>
    <t>COTRASEÑA</t>
  </si>
  <si>
    <t>GRÁFICO X-R</t>
  </si>
  <si>
    <t>Puntos fuera de los límites</t>
  </si>
  <si>
    <t>CONTROL DE MEDIAS</t>
  </si>
  <si>
    <t>CONTROL DE RANGOS</t>
  </si>
  <si>
    <t>Puntos sobre  y debajo de LC</t>
  </si>
  <si>
    <t>Sobre</t>
  </si>
  <si>
    <t>Debajo</t>
  </si>
  <si>
    <r>
      <t>A</t>
    </r>
    <r>
      <rPr>
        <b/>
        <sz val="8"/>
        <color rgb="FF231F20"/>
        <rFont val="MinionPro-Medium"/>
      </rPr>
      <t xml:space="preserve">2 </t>
    </r>
  </si>
  <si>
    <t>GRÁFICO X-S</t>
  </si>
  <si>
    <t>GRÁFICO X-S (N CAMBIANTE)</t>
  </si>
  <si>
    <t>K</t>
  </si>
  <si>
    <t>CONTROL DE DESVIACIÓN ESTÁNDAR</t>
  </si>
  <si>
    <t>VARIABLE</t>
  </si>
  <si>
    <t>ATRIBUTO</t>
  </si>
  <si>
    <t>DEFECTUOSO</t>
  </si>
  <si>
    <t>n&gt;10</t>
  </si>
  <si>
    <t>GRÁFICO P</t>
  </si>
  <si>
    <t>GRÁFICO nP</t>
  </si>
  <si>
    <t>GRÁFICO P (N CAMBIANTE)</t>
  </si>
  <si>
    <t>GRÁFICO C</t>
  </si>
  <si>
    <t>GRÁFICO U</t>
  </si>
  <si>
    <t>GRÁFICO I</t>
  </si>
  <si>
    <t>VALOR</t>
  </si>
  <si>
    <r>
      <t>d</t>
    </r>
    <r>
      <rPr>
        <b/>
        <sz val="8"/>
        <color rgb="FF231F20"/>
        <rFont val="MinionPro-Medium"/>
      </rPr>
      <t xml:space="preserve">4 </t>
    </r>
  </si>
  <si>
    <t>DATOS RANGOS</t>
  </si>
  <si>
    <t>LC</t>
  </si>
  <si>
    <t>Tamaño de la muestra para rango variable (2-5)</t>
  </si>
  <si>
    <t>TAMAÑO DE LA MUESTRA</t>
  </si>
  <si>
    <t>FRACCIÓN DE UNIDADES DEFECTUOSAS</t>
  </si>
  <si>
    <t>DATOS PROPORCIÓN</t>
  </si>
  <si>
    <t>LC(P)</t>
  </si>
  <si>
    <r>
      <t>S</t>
    </r>
    <r>
      <rPr>
        <b/>
        <sz val="8"/>
        <color theme="1"/>
        <rFont val="Calibri"/>
        <family val="2"/>
        <scheme val="minor"/>
      </rPr>
      <t>P</t>
    </r>
  </si>
  <si>
    <t>PROMEDIO (P_BARRA)</t>
  </si>
  <si>
    <t>TAMAÑO DE LA MUESTRA PROMEDIO</t>
  </si>
  <si>
    <t>FALLOS</t>
  </si>
  <si>
    <t>CONTROL DE PROPORCIÓN</t>
  </si>
  <si>
    <t>CONTROL DE PROPORCIÓN APROXIMADA</t>
  </si>
  <si>
    <t>DATOS PROPORCIÓN APROXIMADO</t>
  </si>
  <si>
    <t>DEFECTUOSOS</t>
  </si>
  <si>
    <t>CONTROL DE DEFECTUOSOS</t>
  </si>
  <si>
    <t>DISCONFORMIDADES</t>
  </si>
  <si>
    <t>DESVIACIÓN ESTÁNDAR</t>
  </si>
  <si>
    <t>Su</t>
  </si>
  <si>
    <t>LC(U)</t>
  </si>
  <si>
    <t>Tamaño de muestra</t>
  </si>
  <si>
    <t>DEFECTOS POR UNIDAD</t>
  </si>
  <si>
    <t>CONTROL DE DISCONFORMIDADES POR UNIDAD</t>
  </si>
  <si>
    <t>Puntos sobre LC</t>
  </si>
  <si>
    <t>N DE DEFECTOS</t>
  </si>
  <si>
    <t>CONTROL DE NÚMERO DE DEFECTOS</t>
  </si>
  <si>
    <t xml:space="preserve">Creado por Daniel Pineda </t>
  </si>
  <si>
    <t>DESCARGO DE RESPONSABILIDAD</t>
  </si>
  <si>
    <t>ESTA PLANTILLA TIENE FINES EDUCATIVOS, CUALQUIERA PUEDE USARLA.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</si>
</sst>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0000"/>
  </numFmts>
  <fonts count="24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72"/>
      <color theme="1"/>
      <name val="Agency FB"/>
      <family val="2"/>
    </font>
    <font>
      <b/>
      <sz val="48"/>
      <color theme="1"/>
      <name val="Agency FB"/>
      <family val="2"/>
    </font>
    <font>
      <u/>
      <sz val="18"/>
      <color theme="1"/>
      <name val="Calibri"/>
      <family val="2"/>
      <scheme val="minor"/>
    </font>
    <font>
      <b/>
      <i/>
      <sz val="18"/>
      <color rgb="FF231F20"/>
      <name val="MinionPro-It"/>
    </font>
    <font>
      <b/>
      <sz val="8"/>
      <color rgb="FF231F20"/>
      <name val="MinionPro-Medium"/>
    </font>
    <font>
      <b/>
      <sz val="26"/>
      <color theme="1"/>
      <name val="Agency FB"/>
      <family val="2"/>
    </font>
    <font>
      <u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Agency FB"/>
      <family val="2"/>
    </font>
    <font>
      <b/>
      <u/>
      <sz val="16"/>
      <color theme="1"/>
      <name val="Agency FB"/>
      <family val="2"/>
    </font>
    <font>
      <u/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231F20"/>
      <name val="Calibri "/>
    </font>
    <font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231F20"/>
      <name val="Calibri 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ck">
        <color theme="1"/>
      </right>
      <top style="thin">
        <color rgb="FFFF0000"/>
      </top>
      <bottom/>
      <diagonal/>
    </border>
    <border>
      <left style="thin">
        <color theme="1"/>
      </left>
      <right style="thick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indexed="64"/>
      </right>
      <top style="thin">
        <color rgb="FFFF0000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8">
    <xf numFmtId="0" fontId="0" fillId="0" borderId="0" xfId="0"/>
    <xf numFmtId="0" fontId="0" fillId="0" borderId="0" xfId="0" applyAlignment="1">
      <alignment horizontal="center"/>
    </xf>
    <xf numFmtId="1" fontId="0" fillId="0" borderId="1" xfId="0" applyNumberFormat="1" applyBorder="1" applyAlignment="1">
      <alignment horizontal="center" vertical="center"/>
    </xf>
    <xf numFmtId="0" fontId="0" fillId="0" borderId="2" xfId="0" applyBorder="1"/>
    <xf numFmtId="0" fontId="0" fillId="0" borderId="0" xfId="0" applyBorder="1"/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1" xfId="0" applyBorder="1"/>
    <xf numFmtId="0" fontId="0" fillId="4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3" xfId="0" applyBorder="1"/>
    <xf numFmtId="0" fontId="0" fillId="4" borderId="14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6" xfId="0" applyBorder="1"/>
    <xf numFmtId="0" fontId="0" fillId="0" borderId="15" xfId="0" applyBorder="1"/>
    <xf numFmtId="0" fontId="5" fillId="0" borderId="0" xfId="0" applyFont="1" applyAlignment="1">
      <alignment vertic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 vertical="center"/>
    </xf>
    <xf numFmtId="0" fontId="0" fillId="0" borderId="1" xfId="0" applyBorder="1"/>
    <xf numFmtId="165" fontId="0" fillId="0" borderId="17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2" fillId="0" borderId="18" xfId="0" applyFont="1" applyBorder="1"/>
    <xf numFmtId="165" fontId="0" fillId="0" borderId="25" xfId="0" applyNumberFormat="1" applyBorder="1" applyAlignment="1">
      <alignment horizontal="center" vertical="center"/>
    </xf>
    <xf numFmtId="0" fontId="2" fillId="0" borderId="28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18" xfId="0" applyFont="1" applyFill="1" applyBorder="1" applyAlignment="1">
      <alignment horizontal="center"/>
    </xf>
    <xf numFmtId="0" fontId="2" fillId="0" borderId="24" xfId="0" applyFont="1" applyFill="1" applyBorder="1" applyAlignment="1">
      <alignment horizontal="center"/>
    </xf>
    <xf numFmtId="165" fontId="0" fillId="0" borderId="19" xfId="0" applyNumberFormat="1" applyBorder="1" applyAlignment="1">
      <alignment horizontal="center" vertical="center"/>
    </xf>
    <xf numFmtId="165" fontId="0" fillId="0" borderId="30" xfId="0" applyNumberFormat="1" applyBorder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0" fontId="0" fillId="0" borderId="25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8" fillId="0" borderId="1" xfId="0" applyFont="1" applyBorder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11" fillId="0" borderId="37" xfId="1" applyFont="1" applyFill="1" applyBorder="1" applyAlignment="1">
      <alignment horizontal="center" vertical="center"/>
    </xf>
    <xf numFmtId="0" fontId="11" fillId="10" borderId="19" xfId="1" applyFont="1" applyFill="1" applyBorder="1" applyAlignment="1">
      <alignment horizontal="center" vertical="center"/>
    </xf>
    <xf numFmtId="0" fontId="11" fillId="9" borderId="19" xfId="1" applyFont="1" applyFill="1" applyBorder="1" applyAlignment="1">
      <alignment horizontal="center" vertical="center"/>
    </xf>
    <xf numFmtId="0" fontId="11" fillId="7" borderId="19" xfId="1" applyFont="1" applyFill="1" applyBorder="1" applyAlignment="1">
      <alignment horizontal="center" vertical="center"/>
    </xf>
    <xf numFmtId="0" fontId="11" fillId="6" borderId="19" xfId="1" applyFont="1" applyFill="1" applyBorder="1" applyAlignment="1">
      <alignment horizontal="center" vertical="center"/>
    </xf>
    <xf numFmtId="0" fontId="11" fillId="0" borderId="19" xfId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3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42" xfId="0" applyNumberFormat="1" applyBorder="1" applyAlignment="1">
      <alignment horizontal="center" vertical="center"/>
    </xf>
    <xf numFmtId="0" fontId="0" fillId="0" borderId="19" xfId="0" applyFill="1" applyBorder="1" applyAlignment="1">
      <alignment horizontal="center"/>
    </xf>
    <xf numFmtId="0" fontId="2" fillId="2" borderId="1" xfId="0" applyFont="1" applyFill="1" applyBorder="1"/>
    <xf numFmtId="0" fontId="2" fillId="0" borderId="0" xfId="0" applyFont="1" applyAlignment="1"/>
    <xf numFmtId="0" fontId="0" fillId="0" borderId="0" xfId="0" applyAlignment="1"/>
    <xf numFmtId="0" fontId="0" fillId="0" borderId="44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0" fillId="0" borderId="23" xfId="0" applyBorder="1"/>
    <xf numFmtId="0" fontId="0" fillId="0" borderId="18" xfId="0" applyBorder="1"/>
    <xf numFmtId="0" fontId="0" fillId="0" borderId="24" xfId="0" applyBorder="1"/>
    <xf numFmtId="0" fontId="12" fillId="13" borderId="19" xfId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/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4" fontId="0" fillId="0" borderId="0" xfId="0" applyNumberForma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1" fillId="14" borderId="19" xfId="1" applyFont="1" applyFill="1" applyBorder="1" applyAlignment="1">
      <alignment horizontal="center" vertical="center"/>
    </xf>
    <xf numFmtId="1" fontId="0" fillId="0" borderId="39" xfId="0" applyNumberFormat="1" applyBorder="1" applyAlignment="1">
      <alignment horizontal="center" vertical="center"/>
    </xf>
    <xf numFmtId="165" fontId="0" fillId="0" borderId="47" xfId="0" applyNumberFormat="1" applyBorder="1" applyAlignment="1">
      <alignment horizontal="center" vertical="center"/>
    </xf>
    <xf numFmtId="165" fontId="0" fillId="0" borderId="40" xfId="0" applyNumberFormat="1" applyBorder="1" applyAlignment="1">
      <alignment horizontal="center" vertical="center"/>
    </xf>
    <xf numFmtId="0" fontId="0" fillId="0" borderId="48" xfId="0" applyBorder="1" applyAlignment="1">
      <alignment horizontal="center"/>
    </xf>
    <xf numFmtId="0" fontId="0" fillId="0" borderId="0" xfId="0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2" fillId="0" borderId="19" xfId="0" applyFont="1" applyBorder="1" applyAlignment="1">
      <alignment horizontal="center"/>
    </xf>
    <xf numFmtId="0" fontId="0" fillId="0" borderId="19" xfId="0" applyBorder="1"/>
    <xf numFmtId="0" fontId="0" fillId="0" borderId="17" xfId="0" applyFont="1" applyFill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" fillId="0" borderId="46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42" xfId="0" applyFont="1" applyBorder="1" applyAlignment="1">
      <alignment horizontal="center"/>
    </xf>
    <xf numFmtId="0" fontId="11" fillId="11" borderId="19" xfId="1" applyFont="1" applyFill="1" applyBorder="1" applyAlignment="1">
      <alignment horizontal="center" vertical="center"/>
    </xf>
    <xf numFmtId="0" fontId="11" fillId="13" borderId="19" xfId="1" applyFont="1" applyFill="1" applyBorder="1" applyAlignment="1">
      <alignment horizontal="center" vertical="center"/>
    </xf>
    <xf numFmtId="0" fontId="11" fillId="17" borderId="19" xfId="1" applyFont="1" applyFill="1" applyBorder="1" applyAlignment="1">
      <alignment horizontal="center" vertical="center"/>
    </xf>
    <xf numFmtId="0" fontId="11" fillId="16" borderId="19" xfId="1" applyFont="1" applyFill="1" applyBorder="1" applyAlignment="1">
      <alignment horizontal="center" vertical="center"/>
    </xf>
    <xf numFmtId="0" fontId="11" fillId="18" borderId="19" xfId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1" fontId="0" fillId="0" borderId="17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0" fillId="13" borderId="19" xfId="0" applyFill="1" applyBorder="1" applyAlignment="1">
      <alignment horizontal="center"/>
    </xf>
    <xf numFmtId="165" fontId="0" fillId="13" borderId="19" xfId="0" applyNumberForma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/>
    </xf>
    <xf numFmtId="165" fontId="0" fillId="0" borderId="45" xfId="0" applyNumberForma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2" fillId="13" borderId="30" xfId="0" applyFont="1" applyFill="1" applyBorder="1" applyAlignment="1">
      <alignment horizontal="center"/>
    </xf>
    <xf numFmtId="165" fontId="0" fillId="13" borderId="45" xfId="0" applyNumberFormat="1" applyFill="1" applyBorder="1" applyAlignment="1">
      <alignment horizontal="center" vertical="center"/>
    </xf>
    <xf numFmtId="0" fontId="2" fillId="22" borderId="30" xfId="0" applyFont="1" applyFill="1" applyBorder="1" applyAlignment="1">
      <alignment horizontal="center"/>
    </xf>
    <xf numFmtId="165" fontId="0" fillId="22" borderId="45" xfId="0" applyNumberFormat="1" applyFill="1" applyBorder="1" applyAlignment="1">
      <alignment horizontal="center" vertical="center"/>
    </xf>
    <xf numFmtId="165" fontId="0" fillId="22" borderId="18" xfId="0" applyNumberFormat="1" applyFill="1" applyBorder="1" applyAlignment="1">
      <alignment horizontal="center" vertical="center"/>
    </xf>
    <xf numFmtId="164" fontId="0" fillId="22" borderId="45" xfId="0" applyNumberFormat="1" applyFill="1" applyBorder="1" applyAlignment="1">
      <alignment horizontal="center" vertical="center"/>
    </xf>
    <xf numFmtId="164" fontId="0" fillId="0" borderId="45" xfId="0" applyNumberFormat="1" applyFill="1" applyBorder="1" applyAlignment="1">
      <alignment horizontal="center" vertical="center"/>
    </xf>
    <xf numFmtId="0" fontId="0" fillId="13" borderId="45" xfId="0" applyFill="1" applyBorder="1" applyAlignment="1">
      <alignment horizontal="center"/>
    </xf>
    <xf numFmtId="0" fontId="0" fillId="0" borderId="16" xfId="0" applyBorder="1" applyAlignment="1">
      <alignment horizontal="center"/>
    </xf>
    <xf numFmtId="165" fontId="0" fillId="0" borderId="24" xfId="0" applyNumberFormat="1" applyBorder="1" applyAlignment="1">
      <alignment horizontal="center" vertical="center"/>
    </xf>
    <xf numFmtId="165" fontId="0" fillId="13" borderId="24" xfId="0" applyNumberFormat="1" applyFill="1" applyBorder="1" applyAlignment="1">
      <alignment horizontal="center" vertical="center"/>
    </xf>
    <xf numFmtId="0" fontId="21" fillId="21" borderId="19" xfId="1" applyFont="1" applyFill="1" applyBorder="1" applyAlignment="1">
      <alignment horizontal="center" vertical="center"/>
    </xf>
    <xf numFmtId="0" fontId="21" fillId="23" borderId="19" xfId="1" applyFont="1" applyFill="1" applyBorder="1" applyAlignment="1">
      <alignment horizontal="center" vertical="center"/>
    </xf>
    <xf numFmtId="0" fontId="21" fillId="18" borderId="19" xfId="1" applyFont="1" applyFill="1" applyBorder="1" applyAlignment="1">
      <alignment horizontal="center" vertical="center"/>
    </xf>
    <xf numFmtId="0" fontId="11" fillId="16" borderId="19" xfId="1" applyFont="1" applyFill="1" applyBorder="1" applyAlignment="1">
      <alignment horizontal="center"/>
    </xf>
    <xf numFmtId="0" fontId="11" fillId="23" borderId="19" xfId="1" applyFont="1" applyFill="1" applyBorder="1" applyAlignment="1">
      <alignment horizontal="center" vertical="center"/>
    </xf>
    <xf numFmtId="0" fontId="11" fillId="21" borderId="19" xfId="1" applyFont="1" applyFill="1" applyBorder="1" applyAlignment="1">
      <alignment horizontal="center" vertical="center"/>
    </xf>
    <xf numFmtId="0" fontId="11" fillId="21" borderId="0" xfId="1" applyFont="1" applyFill="1" applyAlignment="1">
      <alignment horizontal="center"/>
    </xf>
    <xf numFmtId="1" fontId="0" fillId="13" borderId="45" xfId="0" applyNumberFormat="1" applyFill="1" applyBorder="1" applyAlignment="1">
      <alignment horizontal="center"/>
    </xf>
    <xf numFmtId="0" fontId="11" fillId="21" borderId="19" xfId="1" applyFont="1" applyFill="1" applyBorder="1" applyAlignment="1">
      <alignment horizontal="center"/>
    </xf>
    <xf numFmtId="1" fontId="0" fillId="13" borderId="19" xfId="0" applyNumberFormat="1" applyFill="1" applyBorder="1" applyAlignment="1">
      <alignment horizontal="center"/>
    </xf>
    <xf numFmtId="0" fontId="2" fillId="13" borderId="46" xfId="0" applyFont="1" applyFill="1" applyBorder="1" applyAlignment="1">
      <alignment horizontal="center"/>
    </xf>
    <xf numFmtId="165" fontId="22" fillId="0" borderId="40" xfId="0" applyNumberFormat="1" applyFont="1" applyBorder="1" applyAlignment="1">
      <alignment horizontal="center"/>
    </xf>
    <xf numFmtId="164" fontId="23" fillId="0" borderId="1" xfId="0" applyNumberFormat="1" applyFont="1" applyBorder="1" applyAlignment="1">
      <alignment horizontal="center"/>
    </xf>
    <xf numFmtId="0" fontId="11" fillId="0" borderId="0" xfId="1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/>
    </xf>
    <xf numFmtId="0" fontId="2" fillId="0" borderId="30" xfId="0" applyFont="1" applyFill="1" applyBorder="1" applyAlignment="1">
      <alignment horizontal="center"/>
    </xf>
    <xf numFmtId="1" fontId="0" fillId="0" borderId="45" xfId="0" applyNumberFormat="1" applyFill="1" applyBorder="1" applyAlignment="1">
      <alignment horizontal="center"/>
    </xf>
    <xf numFmtId="1" fontId="0" fillId="0" borderId="24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66" fontId="0" fillId="0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 vertical="center"/>
    </xf>
    <xf numFmtId="166" fontId="0" fillId="13" borderId="45" xfId="0" applyNumberFormat="1" applyFill="1" applyBorder="1" applyAlignment="1">
      <alignment horizontal="center" vertical="center"/>
    </xf>
    <xf numFmtId="166" fontId="0" fillId="0" borderId="45" xfId="0" applyNumberFormat="1" applyBorder="1" applyAlignment="1">
      <alignment horizontal="center" vertical="center"/>
    </xf>
    <xf numFmtId="166" fontId="0" fillId="13" borderId="19" xfId="0" applyNumberFormat="1" applyFill="1" applyBorder="1" applyAlignment="1">
      <alignment horizontal="center" vertical="center"/>
    </xf>
    <xf numFmtId="166" fontId="0" fillId="0" borderId="24" xfId="0" applyNumberFormat="1" applyFill="1" applyBorder="1" applyAlignment="1">
      <alignment horizontal="center" vertical="center"/>
    </xf>
    <xf numFmtId="0" fontId="2" fillId="0" borderId="30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" fontId="0" fillId="0" borderId="17" xfId="0" applyNumberFormat="1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42" xfId="0" applyBorder="1" applyAlignment="1">
      <alignment horizontal="center"/>
    </xf>
    <xf numFmtId="164" fontId="0" fillId="13" borderId="45" xfId="0" applyNumberFormat="1" applyFill="1" applyBorder="1" applyAlignment="1">
      <alignment horizontal="center"/>
    </xf>
    <xf numFmtId="164" fontId="0" fillId="13" borderId="24" xfId="0" applyNumberFormat="1" applyFill="1" applyBorder="1" applyAlignment="1">
      <alignment horizontal="center" vertical="center"/>
    </xf>
    <xf numFmtId="164" fontId="0" fillId="13" borderId="45" xfId="0" applyNumberFormat="1" applyFill="1" applyBorder="1" applyAlignment="1">
      <alignment horizontal="center" vertical="center"/>
    </xf>
    <xf numFmtId="164" fontId="0" fillId="0" borderId="45" xfId="0" applyNumberFormat="1" applyBorder="1" applyAlignment="1">
      <alignment horizontal="center" vertical="center"/>
    </xf>
    <xf numFmtId="164" fontId="0" fillId="13" borderId="19" xfId="0" applyNumberFormat="1" applyFill="1" applyBorder="1" applyAlignment="1">
      <alignment horizontal="center"/>
    </xf>
    <xf numFmtId="164" fontId="0" fillId="13" borderId="42" xfId="0" applyNumberFormat="1" applyFill="1" applyBorder="1" applyAlignment="1">
      <alignment horizontal="center" vertical="center"/>
    </xf>
    <xf numFmtId="164" fontId="0" fillId="13" borderId="19" xfId="0" applyNumberFormat="1" applyFill="1" applyBorder="1" applyAlignment="1">
      <alignment horizontal="center" vertical="center"/>
    </xf>
    <xf numFmtId="164" fontId="0" fillId="22" borderId="18" xfId="0" applyNumberFormat="1" applyFill="1" applyBorder="1" applyAlignment="1">
      <alignment horizontal="center" vertical="center"/>
    </xf>
    <xf numFmtId="164" fontId="0" fillId="0" borderId="17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 vertical="center"/>
    </xf>
    <xf numFmtId="164" fontId="0" fillId="0" borderId="42" xfId="0" applyNumberFormat="1" applyBorder="1" applyAlignment="1">
      <alignment horizontal="center" vertical="center"/>
    </xf>
    <xf numFmtId="166" fontId="0" fillId="0" borderId="24" xfId="0" applyNumberFormat="1" applyBorder="1" applyAlignment="1">
      <alignment horizontal="center" vertical="center"/>
    </xf>
    <xf numFmtId="166" fontId="0" fillId="0" borderId="42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 applyProtection="1">
      <alignment horizontal="center"/>
      <protection locked="0"/>
    </xf>
    <xf numFmtId="0" fontId="7" fillId="7" borderId="20" xfId="1" applyFont="1" applyFill="1" applyBorder="1" applyAlignment="1" applyProtection="1">
      <alignment horizontal="center" vertical="center"/>
      <protection locked="0"/>
    </xf>
    <xf numFmtId="0" fontId="7" fillId="7" borderId="22" xfId="1" applyFont="1" applyFill="1" applyBorder="1" applyAlignment="1" applyProtection="1">
      <alignment horizontal="center" vertical="center"/>
      <protection locked="0"/>
    </xf>
    <xf numFmtId="0" fontId="7" fillId="7" borderId="23" xfId="1" applyFont="1" applyFill="1" applyBorder="1" applyAlignment="1" applyProtection="1">
      <alignment horizontal="center" vertical="center"/>
      <protection locked="0"/>
    </xf>
    <xf numFmtId="0" fontId="7" fillId="7" borderId="24" xfId="1" applyFont="1" applyFill="1" applyBorder="1" applyAlignment="1" applyProtection="1">
      <alignment horizontal="center" vertical="center"/>
      <protection locked="0"/>
    </xf>
    <xf numFmtId="0" fontId="15" fillId="2" borderId="46" xfId="0" applyFont="1" applyFill="1" applyBorder="1" applyAlignment="1" applyProtection="1">
      <alignment horizontal="center" vertical="center"/>
      <protection locked="0"/>
    </xf>
    <xf numFmtId="0" fontId="15" fillId="2" borderId="42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3" fillId="2" borderId="0" xfId="0" applyFont="1" applyFill="1" applyAlignment="1" applyProtection="1">
      <alignment horizontal="center"/>
    </xf>
    <xf numFmtId="0" fontId="17" fillId="5" borderId="20" xfId="1" applyFont="1" applyFill="1" applyBorder="1" applyAlignment="1" applyProtection="1">
      <alignment horizontal="center" vertical="center"/>
      <protection locked="0"/>
    </xf>
    <xf numFmtId="0" fontId="17" fillId="5" borderId="22" xfId="1" applyFont="1" applyFill="1" applyBorder="1" applyAlignment="1" applyProtection="1">
      <alignment horizontal="center" vertical="center"/>
      <protection locked="0"/>
    </xf>
    <xf numFmtId="0" fontId="17" fillId="5" borderId="23" xfId="1" applyFont="1" applyFill="1" applyBorder="1" applyAlignment="1" applyProtection="1">
      <alignment horizontal="center" vertical="center"/>
      <protection locked="0"/>
    </xf>
    <xf numFmtId="0" fontId="17" fillId="5" borderId="24" xfId="1" applyFont="1" applyFill="1" applyBorder="1" applyAlignment="1" applyProtection="1">
      <alignment horizontal="center" vertical="center"/>
      <protection locked="0"/>
    </xf>
    <xf numFmtId="0" fontId="17" fillId="15" borderId="20" xfId="1" applyFont="1" applyFill="1" applyBorder="1" applyAlignment="1" applyProtection="1">
      <alignment horizontal="center" vertical="center"/>
      <protection locked="0"/>
    </xf>
    <xf numFmtId="0" fontId="17" fillId="15" borderId="22" xfId="1" applyFont="1" applyFill="1" applyBorder="1" applyAlignment="1" applyProtection="1">
      <alignment horizontal="center" vertical="center"/>
      <protection locked="0"/>
    </xf>
    <xf numFmtId="0" fontId="17" fillId="15" borderId="23" xfId="1" applyFont="1" applyFill="1" applyBorder="1" applyAlignment="1" applyProtection="1">
      <alignment horizontal="center" vertical="center"/>
      <protection locked="0"/>
    </xf>
    <xf numFmtId="0" fontId="17" fillId="15" borderId="24" xfId="1" applyFont="1" applyFill="1" applyBorder="1" applyAlignment="1" applyProtection="1">
      <alignment horizontal="center" vertical="center"/>
      <protection locked="0"/>
    </xf>
    <xf numFmtId="0" fontId="17" fillId="19" borderId="20" xfId="1" applyFont="1" applyFill="1" applyBorder="1" applyAlignment="1" applyProtection="1">
      <alignment horizontal="center" vertical="center"/>
      <protection locked="0"/>
    </xf>
    <xf numFmtId="0" fontId="17" fillId="19" borderId="22" xfId="1" applyFont="1" applyFill="1" applyBorder="1" applyAlignment="1" applyProtection="1">
      <alignment horizontal="center" vertical="center"/>
      <protection locked="0"/>
    </xf>
    <xf numFmtId="0" fontId="17" fillId="19" borderId="23" xfId="1" applyFont="1" applyFill="1" applyBorder="1" applyAlignment="1" applyProtection="1">
      <alignment horizontal="center" vertical="center"/>
      <protection locked="0"/>
    </xf>
    <xf numFmtId="0" fontId="17" fillId="19" borderId="24" xfId="1" applyFont="1" applyFill="1" applyBorder="1" applyAlignment="1" applyProtection="1">
      <alignment horizontal="center" vertical="center"/>
      <protection locked="0"/>
    </xf>
    <xf numFmtId="0" fontId="17" fillId="20" borderId="20" xfId="1" applyFont="1" applyFill="1" applyBorder="1" applyAlignment="1" applyProtection="1">
      <alignment horizontal="center" vertical="center"/>
      <protection locked="0"/>
    </xf>
    <xf numFmtId="0" fontId="17" fillId="20" borderId="22" xfId="1" applyFont="1" applyFill="1" applyBorder="1" applyAlignment="1" applyProtection="1">
      <alignment horizontal="center" vertical="center"/>
      <protection locked="0"/>
    </xf>
    <xf numFmtId="0" fontId="17" fillId="20" borderId="23" xfId="1" applyFont="1" applyFill="1" applyBorder="1" applyAlignment="1" applyProtection="1">
      <alignment horizontal="center" vertical="center"/>
      <protection locked="0"/>
    </xf>
    <xf numFmtId="0" fontId="17" fillId="20" borderId="24" xfId="1" applyFont="1" applyFill="1" applyBorder="1" applyAlignment="1" applyProtection="1">
      <alignment horizontal="center" vertical="center"/>
      <protection locked="0"/>
    </xf>
    <xf numFmtId="0" fontId="17" fillId="21" borderId="20" xfId="1" applyFont="1" applyFill="1" applyBorder="1" applyAlignment="1" applyProtection="1">
      <alignment horizontal="center" vertical="center"/>
      <protection locked="0"/>
    </xf>
    <xf numFmtId="0" fontId="17" fillId="21" borderId="22" xfId="1" applyFont="1" applyFill="1" applyBorder="1" applyAlignment="1" applyProtection="1">
      <alignment horizontal="center" vertical="center"/>
      <protection locked="0"/>
    </xf>
    <xf numFmtId="0" fontId="17" fillId="21" borderId="23" xfId="1" applyFont="1" applyFill="1" applyBorder="1" applyAlignment="1" applyProtection="1">
      <alignment horizontal="center" vertical="center"/>
      <protection locked="0"/>
    </xf>
    <xf numFmtId="0" fontId="17" fillId="21" borderId="24" xfId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6" fillId="2" borderId="46" xfId="0" applyFont="1" applyFill="1" applyBorder="1" applyAlignment="1" applyProtection="1">
      <alignment horizontal="center" vertical="center"/>
      <protection locked="0"/>
    </xf>
    <xf numFmtId="0" fontId="16" fillId="2" borderId="30" xfId="0" applyFont="1" applyFill="1" applyBorder="1" applyAlignment="1" applyProtection="1">
      <alignment horizontal="center" vertical="center"/>
      <protection locked="0"/>
    </xf>
    <xf numFmtId="0" fontId="16" fillId="2" borderId="42" xfId="0" applyFont="1" applyFill="1" applyBorder="1" applyAlignment="1" applyProtection="1">
      <alignment horizontal="center" vertical="center"/>
      <protection locked="0"/>
    </xf>
    <xf numFmtId="0" fontId="18" fillId="0" borderId="46" xfId="0" applyFont="1" applyBorder="1" applyAlignment="1" applyProtection="1">
      <alignment horizontal="center"/>
      <protection locked="0"/>
    </xf>
    <xf numFmtId="0" fontId="18" fillId="0" borderId="42" xfId="0" applyFont="1" applyBorder="1" applyAlignment="1" applyProtection="1">
      <alignment horizontal="center"/>
      <protection locked="0"/>
    </xf>
    <xf numFmtId="0" fontId="17" fillId="16" borderId="20" xfId="1" applyFont="1" applyFill="1" applyBorder="1" applyAlignment="1" applyProtection="1">
      <alignment horizontal="center" vertical="center"/>
      <protection locked="0"/>
    </xf>
    <xf numFmtId="0" fontId="17" fillId="16" borderId="22" xfId="1" applyFont="1" applyFill="1" applyBorder="1" applyAlignment="1" applyProtection="1">
      <alignment horizontal="center" vertical="center"/>
      <protection locked="0"/>
    </xf>
    <xf numFmtId="0" fontId="17" fillId="16" borderId="23" xfId="1" applyFont="1" applyFill="1" applyBorder="1" applyAlignment="1" applyProtection="1">
      <alignment horizontal="center" vertical="center"/>
      <protection locked="0"/>
    </xf>
    <xf numFmtId="0" fontId="17" fillId="16" borderId="24" xfId="1" applyFont="1" applyFill="1" applyBorder="1" applyAlignment="1" applyProtection="1">
      <alignment horizontal="center" vertical="center"/>
      <protection locked="0"/>
    </xf>
    <xf numFmtId="0" fontId="17" fillId="9" borderId="20" xfId="1" applyFont="1" applyFill="1" applyBorder="1" applyAlignment="1" applyProtection="1">
      <alignment horizontal="center" vertical="center"/>
      <protection locked="0"/>
    </xf>
    <xf numFmtId="0" fontId="17" fillId="9" borderId="22" xfId="1" applyFont="1" applyFill="1" applyBorder="1" applyAlignment="1" applyProtection="1">
      <alignment horizontal="center" vertical="center"/>
      <protection locked="0"/>
    </xf>
    <xf numFmtId="0" fontId="17" fillId="9" borderId="23" xfId="1" applyFont="1" applyFill="1" applyBorder="1" applyAlignment="1" applyProtection="1">
      <alignment horizontal="center" vertical="center"/>
      <protection locked="0"/>
    </xf>
    <xf numFmtId="0" fontId="17" fillId="9" borderId="24" xfId="1" applyFont="1" applyFill="1" applyBorder="1" applyAlignment="1" applyProtection="1">
      <alignment horizontal="center" vertical="center"/>
      <protection locked="0"/>
    </xf>
    <xf numFmtId="0" fontId="2" fillId="0" borderId="20" xfId="0" applyFont="1" applyBorder="1" applyAlignment="1" applyProtection="1">
      <alignment horizontal="center" vertical="center" wrapText="1"/>
    </xf>
    <xf numFmtId="0" fontId="2" fillId="0" borderId="21" xfId="0" applyFont="1" applyBorder="1" applyAlignment="1" applyProtection="1">
      <alignment horizontal="center" vertical="center" wrapText="1"/>
    </xf>
    <xf numFmtId="0" fontId="2" fillId="0" borderId="22" xfId="0" applyFont="1" applyBorder="1" applyAlignment="1" applyProtection="1">
      <alignment horizontal="center" vertical="center" wrapText="1"/>
    </xf>
    <xf numFmtId="0" fontId="2" fillId="0" borderId="43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2" fillId="0" borderId="44" xfId="0" applyFont="1" applyBorder="1" applyAlignment="1" applyProtection="1">
      <alignment horizontal="center" vertical="center" wrapText="1"/>
    </xf>
    <xf numFmtId="0" fontId="2" fillId="0" borderId="23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24" xfId="0" applyFont="1" applyBorder="1" applyAlignment="1" applyProtection="1">
      <alignment horizontal="center" vertical="center" wrapText="1"/>
    </xf>
    <xf numFmtId="0" fontId="2" fillId="0" borderId="46" xfId="0" applyFont="1" applyBorder="1" applyAlignment="1" applyProtection="1">
      <alignment horizontal="center"/>
    </xf>
    <xf numFmtId="0" fontId="2" fillId="0" borderId="30" xfId="0" applyFont="1" applyBorder="1" applyAlignment="1" applyProtection="1">
      <alignment horizontal="center"/>
    </xf>
    <xf numFmtId="0" fontId="2" fillId="0" borderId="42" xfId="0" applyFont="1" applyBorder="1" applyAlignment="1" applyProtection="1">
      <alignment horizontal="center"/>
    </xf>
    <xf numFmtId="0" fontId="17" fillId="17" borderId="20" xfId="1" applyFont="1" applyFill="1" applyBorder="1" applyAlignment="1" applyProtection="1">
      <alignment horizontal="center" vertical="center"/>
      <protection locked="0"/>
    </xf>
    <xf numFmtId="0" fontId="17" fillId="17" borderId="22" xfId="1" applyFont="1" applyFill="1" applyBorder="1" applyAlignment="1" applyProtection="1">
      <alignment horizontal="center" vertical="center"/>
      <protection locked="0"/>
    </xf>
    <xf numFmtId="0" fontId="17" fillId="17" borderId="23" xfId="1" applyFont="1" applyFill="1" applyBorder="1" applyAlignment="1" applyProtection="1">
      <alignment horizontal="center" vertical="center"/>
      <protection locked="0"/>
    </xf>
    <xf numFmtId="0" fontId="17" fillId="17" borderId="24" xfId="1" applyFont="1" applyFill="1" applyBorder="1" applyAlignment="1" applyProtection="1">
      <alignment horizontal="center" vertical="center"/>
      <protection locked="0"/>
    </xf>
    <xf numFmtId="0" fontId="17" fillId="18" borderId="20" xfId="1" applyFont="1" applyFill="1" applyBorder="1" applyAlignment="1" applyProtection="1">
      <alignment horizontal="center" vertical="center"/>
      <protection locked="0"/>
    </xf>
    <xf numFmtId="0" fontId="17" fillId="18" borderId="22" xfId="1" applyFont="1" applyFill="1" applyBorder="1" applyAlignment="1" applyProtection="1">
      <alignment horizontal="center" vertical="center"/>
      <protection locked="0"/>
    </xf>
    <xf numFmtId="0" fontId="17" fillId="18" borderId="23" xfId="1" applyFont="1" applyFill="1" applyBorder="1" applyAlignment="1" applyProtection="1">
      <alignment horizontal="center" vertical="center"/>
      <protection locked="0"/>
    </xf>
    <xf numFmtId="0" fontId="17" fillId="18" borderId="24" xfId="1" applyFont="1" applyFill="1" applyBorder="1" applyAlignment="1" applyProtection="1">
      <alignment horizontal="center" vertical="center"/>
      <protection locked="0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13" fillId="12" borderId="46" xfId="0" applyFont="1" applyFill="1" applyBorder="1" applyAlignment="1">
      <alignment horizontal="center"/>
    </xf>
    <xf numFmtId="0" fontId="13" fillId="12" borderId="30" xfId="0" applyFont="1" applyFill="1" applyBorder="1" applyAlignment="1">
      <alignment horizontal="center"/>
    </xf>
    <xf numFmtId="0" fontId="13" fillId="12" borderId="42" xfId="0" applyFont="1" applyFill="1" applyBorder="1" applyAlignment="1">
      <alignment horizontal="center"/>
    </xf>
    <xf numFmtId="0" fontId="2" fillId="11" borderId="46" xfId="0" applyFont="1" applyFill="1" applyBorder="1" applyAlignment="1">
      <alignment horizontal="center"/>
    </xf>
    <xf numFmtId="0" fontId="2" fillId="11" borderId="30" xfId="0" applyFont="1" applyFill="1" applyBorder="1" applyAlignment="1">
      <alignment horizontal="center"/>
    </xf>
    <xf numFmtId="0" fontId="2" fillId="11" borderId="42" xfId="0" applyFont="1" applyFill="1" applyBorder="1" applyAlignment="1">
      <alignment horizontal="center"/>
    </xf>
    <xf numFmtId="0" fontId="2" fillId="8" borderId="46" xfId="0" applyFont="1" applyFill="1" applyBorder="1" applyAlignment="1">
      <alignment horizontal="center"/>
    </xf>
    <xf numFmtId="0" fontId="2" fillId="8" borderId="30" xfId="0" applyFont="1" applyFill="1" applyBorder="1" applyAlignment="1">
      <alignment horizontal="center"/>
    </xf>
    <xf numFmtId="0" fontId="2" fillId="8" borderId="42" xfId="0" applyFont="1" applyFill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20" xfId="0" applyFont="1" applyBorder="1" applyAlignment="1">
      <alignment horizontal="center"/>
    </xf>
    <xf numFmtId="0" fontId="2" fillId="0" borderId="30" xfId="0" applyFont="1" applyBorder="1" applyAlignment="1">
      <alignment horizontal="center"/>
    </xf>
  </cellXfs>
  <cellStyles count="2">
    <cellStyle name="Hipervínculo" xfId="1" builtinId="8"/>
    <cellStyle name="Normal" xfId="0" builtinId="0"/>
  </cellStyles>
  <dxfs count="25"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CC66FF"/>
      <color rgb="FF99FF66"/>
      <color rgb="FF9966FF"/>
      <color rgb="FFFF66FF"/>
      <color rgb="FF6699FF"/>
      <color rgb="FFFF99CC"/>
      <color rgb="FFFF7C80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 DE LA</a:t>
            </a:r>
            <a:r>
              <a:rPr lang="es-SV" b="1" baseline="0"/>
              <a:t> RANGOS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'GRÁFICO X-R'!$AE$8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X-R'!$AE$9:$AE$18</c:f>
              <c:numCache>
                <c:formatCode>0.000</c:formatCode>
                <c:ptCount val="10"/>
                <c:pt idx="0">
                  <c:v>0.40000000000000036</c:v>
                </c:pt>
                <c:pt idx="1">
                  <c:v>0.30000000000000027</c:v>
                </c:pt>
                <c:pt idx="2">
                  <c:v>0.20000000000000018</c:v>
                </c:pt>
                <c:pt idx="3">
                  <c:v>0.20000000000000018</c:v>
                </c:pt>
                <c:pt idx="4">
                  <c:v>0.20000000000000018</c:v>
                </c:pt>
                <c:pt idx="5">
                  <c:v>0.30000000000000027</c:v>
                </c:pt>
                <c:pt idx="6">
                  <c:v>0.40000000000000036</c:v>
                </c:pt>
                <c:pt idx="7">
                  <c:v>0.30000000000000027</c:v>
                </c:pt>
                <c:pt idx="8">
                  <c:v>0.30000000000000027</c:v>
                </c:pt>
                <c:pt idx="9">
                  <c:v>0.20000000000000018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22-442D-90C7-1176BE8053DD}"/>
            </c:ext>
          </c:extLst>
        </c:ser>
        <c:ser>
          <c:idx val="1"/>
          <c:order val="1"/>
          <c:tx>
            <c:strRef>
              <c:f>'GRÁFICO X-R'!$AF$8</c:f>
              <c:strCache>
                <c:ptCount val="1"/>
                <c:pt idx="0">
                  <c:v>PROM (R̅)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X-R'!$AF$9:$AF$18</c:f>
              <c:numCache>
                <c:formatCode>0.000</c:formatCode>
                <c:ptCount val="10"/>
                <c:pt idx="0">
                  <c:v>0.28000000000000025</c:v>
                </c:pt>
                <c:pt idx="1">
                  <c:v>0.28000000000000025</c:v>
                </c:pt>
                <c:pt idx="2">
                  <c:v>0.28000000000000025</c:v>
                </c:pt>
                <c:pt idx="3">
                  <c:v>0.28000000000000025</c:v>
                </c:pt>
                <c:pt idx="4">
                  <c:v>0.28000000000000025</c:v>
                </c:pt>
                <c:pt idx="5">
                  <c:v>0.28000000000000025</c:v>
                </c:pt>
                <c:pt idx="6">
                  <c:v>0.28000000000000025</c:v>
                </c:pt>
                <c:pt idx="7">
                  <c:v>0.28000000000000025</c:v>
                </c:pt>
                <c:pt idx="8">
                  <c:v>0.28000000000000025</c:v>
                </c:pt>
                <c:pt idx="9">
                  <c:v>0.28000000000000025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22-442D-90C7-1176BE8053DD}"/>
            </c:ext>
          </c:extLst>
        </c:ser>
        <c:ser>
          <c:idx val="2"/>
          <c:order val="2"/>
          <c:tx>
            <c:strRef>
              <c:f>'GRÁFICO X-R'!$AG$8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X-R'!$AG$9:$AG$18</c:f>
              <c:numCache>
                <c:formatCode>0.0000</c:formatCode>
                <c:ptCount val="10"/>
                <c:pt idx="0">
                  <c:v>0.53872000000000042</c:v>
                </c:pt>
                <c:pt idx="1">
                  <c:v>0.53872000000000042</c:v>
                </c:pt>
                <c:pt idx="2">
                  <c:v>0.53872000000000042</c:v>
                </c:pt>
                <c:pt idx="3">
                  <c:v>0.53872000000000042</c:v>
                </c:pt>
                <c:pt idx="4">
                  <c:v>0.53872000000000042</c:v>
                </c:pt>
                <c:pt idx="5">
                  <c:v>0.53872000000000042</c:v>
                </c:pt>
                <c:pt idx="6">
                  <c:v>0.53872000000000042</c:v>
                </c:pt>
                <c:pt idx="7">
                  <c:v>0.53872000000000042</c:v>
                </c:pt>
                <c:pt idx="8">
                  <c:v>0.53872000000000042</c:v>
                </c:pt>
                <c:pt idx="9">
                  <c:v>0.53872000000000042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22-442D-90C7-1176BE8053DD}"/>
            </c:ext>
          </c:extLst>
        </c:ser>
        <c:ser>
          <c:idx val="3"/>
          <c:order val="3"/>
          <c:tx>
            <c:strRef>
              <c:f>'GRÁFICO X-R'!$AH$8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X-R'!$AH$9:$AH$18</c:f>
              <c:numCache>
                <c:formatCode>0.0000</c:formatCode>
                <c:ptCount val="10"/>
                <c:pt idx="0">
                  <c:v>2.1280000000000018E-2</c:v>
                </c:pt>
                <c:pt idx="1">
                  <c:v>2.1280000000000018E-2</c:v>
                </c:pt>
                <c:pt idx="2">
                  <c:v>2.1280000000000018E-2</c:v>
                </c:pt>
                <c:pt idx="3">
                  <c:v>2.1280000000000018E-2</c:v>
                </c:pt>
                <c:pt idx="4">
                  <c:v>2.1280000000000018E-2</c:v>
                </c:pt>
                <c:pt idx="5">
                  <c:v>2.1280000000000018E-2</c:v>
                </c:pt>
                <c:pt idx="6">
                  <c:v>2.1280000000000018E-2</c:v>
                </c:pt>
                <c:pt idx="7">
                  <c:v>2.1280000000000018E-2</c:v>
                </c:pt>
                <c:pt idx="8">
                  <c:v>2.1280000000000018E-2</c:v>
                </c:pt>
                <c:pt idx="9">
                  <c:v>2.1280000000000018E-2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22-442D-90C7-1176BE805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567536"/>
        <c:axId val="1676565904"/>
      </c:lineChart>
      <c:catAx>
        <c:axId val="1676567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76565904"/>
        <c:crosses val="autoZero"/>
        <c:auto val="1"/>
        <c:lblAlgn val="ctr"/>
        <c:lblOffset val="100"/>
        <c:noMultiLvlLbl val="0"/>
      </c:catAx>
      <c:valAx>
        <c:axId val="167656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RANGOS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7656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</a:t>
            </a:r>
            <a:r>
              <a:rPr lang="es-SV" b="1" baseline="0"/>
              <a:t> DE LA MEDIAS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6978937007874015"/>
          <c:y val="0.16245370370370371"/>
          <c:w val="0.79965507436570427"/>
          <c:h val="0.51681284631087776"/>
        </c:manualLayout>
      </c:layout>
      <c:lineChart>
        <c:grouping val="standard"/>
        <c:varyColors val="0"/>
        <c:ser>
          <c:idx val="0"/>
          <c:order val="0"/>
          <c:tx>
            <c:strRef>
              <c:f>'GRÁFICO X-R'!$AA$8</c:f>
              <c:strCache>
                <c:ptCount val="1"/>
                <c:pt idx="0">
                  <c:v>PROM(X̅)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X-R'!$AA$9:$AA$18</c:f>
              <c:numCache>
                <c:formatCode>0.000</c:formatCode>
                <c:ptCount val="10"/>
                <c:pt idx="0">
                  <c:v>2.5</c:v>
                </c:pt>
                <c:pt idx="1">
                  <c:v>2.5428571428571431</c:v>
                </c:pt>
                <c:pt idx="2">
                  <c:v>2.5714285714285716</c:v>
                </c:pt>
                <c:pt idx="3">
                  <c:v>2.5285714285714285</c:v>
                </c:pt>
                <c:pt idx="4">
                  <c:v>2.4857142857142853</c:v>
                </c:pt>
                <c:pt idx="5">
                  <c:v>2.5571428571428569</c:v>
                </c:pt>
                <c:pt idx="6">
                  <c:v>2.5428571428571431</c:v>
                </c:pt>
                <c:pt idx="7">
                  <c:v>2.5428571428571431</c:v>
                </c:pt>
                <c:pt idx="8">
                  <c:v>2.5285714285714285</c:v>
                </c:pt>
                <c:pt idx="9">
                  <c:v>2.5857142857142859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9A-4D8E-9CB2-5D765A5C3829}"/>
            </c:ext>
          </c:extLst>
        </c:ser>
        <c:ser>
          <c:idx val="1"/>
          <c:order val="1"/>
          <c:tx>
            <c:strRef>
              <c:f>'GRÁFICO X-R'!$AB$8</c:f>
              <c:strCache>
                <c:ptCount val="1"/>
                <c:pt idx="0">
                  <c:v>LC (X̿)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X-R'!$AB$9:$AB$18</c:f>
              <c:numCache>
                <c:formatCode>0.000</c:formatCode>
                <c:ptCount val="10"/>
                <c:pt idx="0">
                  <c:v>2.5385714285714287</c:v>
                </c:pt>
                <c:pt idx="1">
                  <c:v>2.5385714285714287</c:v>
                </c:pt>
                <c:pt idx="2">
                  <c:v>2.5385714285714287</c:v>
                </c:pt>
                <c:pt idx="3">
                  <c:v>2.5385714285714287</c:v>
                </c:pt>
                <c:pt idx="4">
                  <c:v>2.5385714285714287</c:v>
                </c:pt>
                <c:pt idx="5">
                  <c:v>2.5385714285714287</c:v>
                </c:pt>
                <c:pt idx="6">
                  <c:v>2.5385714285714287</c:v>
                </c:pt>
                <c:pt idx="7">
                  <c:v>2.5385714285714287</c:v>
                </c:pt>
                <c:pt idx="8">
                  <c:v>2.5385714285714287</c:v>
                </c:pt>
                <c:pt idx="9">
                  <c:v>2.5385714285714287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9A-4D8E-9CB2-5D765A5C3829}"/>
            </c:ext>
          </c:extLst>
        </c:ser>
        <c:ser>
          <c:idx val="2"/>
          <c:order val="2"/>
          <c:tx>
            <c:strRef>
              <c:f>'GRÁFICO X-R'!$AC$8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X-R'!$AC$9:$AC$18</c:f>
              <c:numCache>
                <c:formatCode>0.000</c:formatCode>
                <c:ptCount val="10"/>
                <c:pt idx="0">
                  <c:v>2.655891428571429</c:v>
                </c:pt>
                <c:pt idx="1">
                  <c:v>2.655891428571429</c:v>
                </c:pt>
                <c:pt idx="2">
                  <c:v>2.655891428571429</c:v>
                </c:pt>
                <c:pt idx="3">
                  <c:v>2.655891428571429</c:v>
                </c:pt>
                <c:pt idx="4">
                  <c:v>2.655891428571429</c:v>
                </c:pt>
                <c:pt idx="5">
                  <c:v>2.655891428571429</c:v>
                </c:pt>
                <c:pt idx="6">
                  <c:v>2.655891428571429</c:v>
                </c:pt>
                <c:pt idx="7">
                  <c:v>2.655891428571429</c:v>
                </c:pt>
                <c:pt idx="8">
                  <c:v>2.655891428571429</c:v>
                </c:pt>
                <c:pt idx="9">
                  <c:v>2.655891428571429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9A-4D8E-9CB2-5D765A5C3829}"/>
            </c:ext>
          </c:extLst>
        </c:ser>
        <c:ser>
          <c:idx val="3"/>
          <c:order val="3"/>
          <c:tx>
            <c:strRef>
              <c:f>'GRÁFICO X-R'!$AD$8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X-R'!$AD$9:$AD$18</c:f>
              <c:numCache>
                <c:formatCode>0.000</c:formatCode>
                <c:ptCount val="10"/>
                <c:pt idx="0">
                  <c:v>2.4212514285714284</c:v>
                </c:pt>
                <c:pt idx="1">
                  <c:v>2.4212514285714284</c:v>
                </c:pt>
                <c:pt idx="2">
                  <c:v>2.4212514285714284</c:v>
                </c:pt>
                <c:pt idx="3">
                  <c:v>2.4212514285714284</c:v>
                </c:pt>
                <c:pt idx="4">
                  <c:v>2.4212514285714284</c:v>
                </c:pt>
                <c:pt idx="5">
                  <c:v>2.4212514285714284</c:v>
                </c:pt>
                <c:pt idx="6">
                  <c:v>2.4212514285714284</c:v>
                </c:pt>
                <c:pt idx="7">
                  <c:v>2.4212514285714284</c:v>
                </c:pt>
                <c:pt idx="8">
                  <c:v>2.4212514285714284</c:v>
                </c:pt>
                <c:pt idx="9">
                  <c:v>2.4212514285714284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9A-4D8E-9CB2-5D765A5C3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558832"/>
        <c:axId val="1676568080"/>
      </c:lineChart>
      <c:catAx>
        <c:axId val="1676558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76568080"/>
        <c:crosses val="autoZero"/>
        <c:auto val="1"/>
        <c:lblAlgn val="ctr"/>
        <c:lblOffset val="100"/>
        <c:noMultiLvlLbl val="0"/>
      </c:catAx>
      <c:valAx>
        <c:axId val="167656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MEDIA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7655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 DE LA</a:t>
            </a:r>
            <a:r>
              <a:rPr lang="es-SV" b="1" baseline="0"/>
              <a:t> DESVIACIÓN ESTÁNDAR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'GRÁFICO X-S'!$AE$8</c:f>
              <c:strCache>
                <c:ptCount val="1"/>
                <c:pt idx="0">
                  <c:v>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X-S'!$AE$9:$AE$23</c:f>
              <c:numCache>
                <c:formatCode>0.000</c:formatCode>
                <c:ptCount val="15"/>
                <c:pt idx="0">
                  <c:v>5.2112363303643328</c:v>
                </c:pt>
                <c:pt idx="1">
                  <c:v>3.9568797011909522</c:v>
                </c:pt>
                <c:pt idx="2">
                  <c:v>3.9738450771223732</c:v>
                </c:pt>
                <c:pt idx="3">
                  <c:v>2.1883818568785425</c:v>
                </c:pt>
                <c:pt idx="4">
                  <c:v>3.9113551670008486</c:v>
                </c:pt>
                <c:pt idx="5">
                  <c:v>3.9993279738506375</c:v>
                </c:pt>
                <c:pt idx="6">
                  <c:v>3.7048690321595217</c:v>
                </c:pt>
                <c:pt idx="7">
                  <c:v>4.1591487328320182</c:v>
                </c:pt>
                <c:pt idx="8">
                  <c:v>2.9853159570866854</c:v>
                </c:pt>
                <c:pt idx="9">
                  <c:v>2.6691110482478617</c:v>
                </c:pt>
                <c:pt idx="10">
                  <c:v>4.5257753395680593</c:v>
                </c:pt>
                <c:pt idx="11">
                  <c:v>3.163183451122384</c:v>
                </c:pt>
                <c:pt idx="12">
                  <c:v>4.141423686549734</c:v>
                </c:pt>
                <c:pt idx="13">
                  <c:v>3.6472077322829022</c:v>
                </c:pt>
                <c:pt idx="14">
                  <c:v>4.3174361078601544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49-4DF3-9014-B4F67E7E14C1}"/>
            </c:ext>
          </c:extLst>
        </c:ser>
        <c:ser>
          <c:idx val="1"/>
          <c:order val="1"/>
          <c:tx>
            <c:strRef>
              <c:f>'GRÁFICO X-S'!$AF$8</c:f>
              <c:strCache>
                <c:ptCount val="1"/>
                <c:pt idx="0">
                  <c:v>PROM (S̅)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X-S'!$AF$9:$AF$23</c:f>
              <c:numCache>
                <c:formatCode>0.000</c:formatCode>
                <c:ptCount val="15"/>
                <c:pt idx="0">
                  <c:v>3.770299812941134</c:v>
                </c:pt>
                <c:pt idx="1">
                  <c:v>3.770299812941134</c:v>
                </c:pt>
                <c:pt idx="2">
                  <c:v>3.770299812941134</c:v>
                </c:pt>
                <c:pt idx="3">
                  <c:v>3.770299812941134</c:v>
                </c:pt>
                <c:pt idx="4">
                  <c:v>3.770299812941134</c:v>
                </c:pt>
                <c:pt idx="5">
                  <c:v>3.770299812941134</c:v>
                </c:pt>
                <c:pt idx="6">
                  <c:v>3.770299812941134</c:v>
                </c:pt>
                <c:pt idx="7">
                  <c:v>3.770299812941134</c:v>
                </c:pt>
                <c:pt idx="8">
                  <c:v>3.770299812941134</c:v>
                </c:pt>
                <c:pt idx="9">
                  <c:v>3.770299812941134</c:v>
                </c:pt>
                <c:pt idx="10">
                  <c:v>3.770299812941134</c:v>
                </c:pt>
                <c:pt idx="11">
                  <c:v>3.770299812941134</c:v>
                </c:pt>
                <c:pt idx="12">
                  <c:v>3.770299812941134</c:v>
                </c:pt>
                <c:pt idx="13">
                  <c:v>3.770299812941134</c:v>
                </c:pt>
                <c:pt idx="14">
                  <c:v>3.770299812941134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49-4DF3-9014-B4F67E7E14C1}"/>
            </c:ext>
          </c:extLst>
        </c:ser>
        <c:ser>
          <c:idx val="2"/>
          <c:order val="2"/>
          <c:tx>
            <c:strRef>
              <c:f>'GRÁFICO X-S'!$AG$8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X-S'!$AG$9:$AG$23</c:f>
              <c:numCache>
                <c:formatCode>0.0000</c:formatCode>
                <c:ptCount val="15"/>
                <c:pt idx="0">
                  <c:v>6.2059134921011063</c:v>
                </c:pt>
                <c:pt idx="1">
                  <c:v>6.2059134921011063</c:v>
                </c:pt>
                <c:pt idx="2">
                  <c:v>6.2059134921011063</c:v>
                </c:pt>
                <c:pt idx="3">
                  <c:v>6.2059134921011063</c:v>
                </c:pt>
                <c:pt idx="4">
                  <c:v>6.2059134921011063</c:v>
                </c:pt>
                <c:pt idx="5">
                  <c:v>6.2059134921011063</c:v>
                </c:pt>
                <c:pt idx="6">
                  <c:v>6.2059134921011063</c:v>
                </c:pt>
                <c:pt idx="7">
                  <c:v>6.2059134921011063</c:v>
                </c:pt>
                <c:pt idx="8">
                  <c:v>6.2059134921011063</c:v>
                </c:pt>
                <c:pt idx="9">
                  <c:v>6.2059134921011063</c:v>
                </c:pt>
                <c:pt idx="10">
                  <c:v>6.2059134921011063</c:v>
                </c:pt>
                <c:pt idx="11">
                  <c:v>6.2059134921011063</c:v>
                </c:pt>
                <c:pt idx="12">
                  <c:v>6.2059134921011063</c:v>
                </c:pt>
                <c:pt idx="13">
                  <c:v>6.2059134921011063</c:v>
                </c:pt>
                <c:pt idx="14">
                  <c:v>6.2059134921011063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49-4DF3-9014-B4F67E7E14C1}"/>
            </c:ext>
          </c:extLst>
        </c:ser>
        <c:ser>
          <c:idx val="3"/>
          <c:order val="3"/>
          <c:tx>
            <c:strRef>
              <c:f>'GRÁFICO X-S'!$AH$8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X-S'!$AH$9:$AH$23</c:f>
              <c:numCache>
                <c:formatCode>0.0000</c:formatCode>
                <c:ptCount val="15"/>
                <c:pt idx="0">
                  <c:v>1.3346861337811613</c:v>
                </c:pt>
                <c:pt idx="1">
                  <c:v>1.3346861337811613</c:v>
                </c:pt>
                <c:pt idx="2">
                  <c:v>1.3346861337811613</c:v>
                </c:pt>
                <c:pt idx="3">
                  <c:v>1.3346861337811613</c:v>
                </c:pt>
                <c:pt idx="4">
                  <c:v>1.3346861337811613</c:v>
                </c:pt>
                <c:pt idx="5">
                  <c:v>1.3346861337811613</c:v>
                </c:pt>
                <c:pt idx="6">
                  <c:v>1.3346861337811613</c:v>
                </c:pt>
                <c:pt idx="7">
                  <c:v>1.3346861337811613</c:v>
                </c:pt>
                <c:pt idx="8">
                  <c:v>1.3346861337811613</c:v>
                </c:pt>
                <c:pt idx="9">
                  <c:v>1.3346861337811613</c:v>
                </c:pt>
                <c:pt idx="10">
                  <c:v>1.3346861337811613</c:v>
                </c:pt>
                <c:pt idx="11">
                  <c:v>1.3346861337811613</c:v>
                </c:pt>
                <c:pt idx="12">
                  <c:v>1.3346861337811613</c:v>
                </c:pt>
                <c:pt idx="13">
                  <c:v>1.3346861337811613</c:v>
                </c:pt>
                <c:pt idx="14">
                  <c:v>1.3346861337811613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49-4DF3-9014-B4F67E7E1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569168"/>
        <c:axId val="1676569712"/>
      </c:lineChart>
      <c:catAx>
        <c:axId val="1676569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76569712"/>
        <c:crosses val="autoZero"/>
        <c:auto val="1"/>
        <c:lblAlgn val="ctr"/>
        <c:lblOffset val="100"/>
        <c:noMultiLvlLbl val="0"/>
      </c:catAx>
      <c:valAx>
        <c:axId val="167656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DESVIACIÓN ESTÁNDAR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7656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</a:t>
            </a:r>
            <a:r>
              <a:rPr lang="es-SV" b="1" baseline="0"/>
              <a:t> DE LA MEDIAS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6978937007874015"/>
          <c:y val="0.16245370370370371"/>
          <c:w val="0.79965507436570427"/>
          <c:h val="0.51681284631087776"/>
        </c:manualLayout>
      </c:layout>
      <c:lineChart>
        <c:grouping val="standard"/>
        <c:varyColors val="0"/>
        <c:ser>
          <c:idx val="0"/>
          <c:order val="0"/>
          <c:tx>
            <c:strRef>
              <c:f>'GRÁFICO X-S'!$AA$8</c:f>
              <c:strCache>
                <c:ptCount val="1"/>
                <c:pt idx="0">
                  <c:v>PROM(X̅)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X-S'!$AA$9:$AA$23</c:f>
              <c:numCache>
                <c:formatCode>0.000</c:formatCode>
                <c:ptCount val="15"/>
                <c:pt idx="0">
                  <c:v>498.10250000000002</c:v>
                </c:pt>
                <c:pt idx="1">
                  <c:v>498.12666666666661</c:v>
                </c:pt>
                <c:pt idx="2">
                  <c:v>493.31083333333339</c:v>
                </c:pt>
                <c:pt idx="3">
                  <c:v>493.44833333333327</c:v>
                </c:pt>
                <c:pt idx="4">
                  <c:v>496.13916666666665</c:v>
                </c:pt>
                <c:pt idx="5">
                  <c:v>496.51333333333326</c:v>
                </c:pt>
                <c:pt idx="6">
                  <c:v>496.30999999999995</c:v>
                </c:pt>
                <c:pt idx="7">
                  <c:v>495.46499999999992</c:v>
                </c:pt>
                <c:pt idx="8">
                  <c:v>497.24249999999989</c:v>
                </c:pt>
                <c:pt idx="9">
                  <c:v>498.07416666666671</c:v>
                </c:pt>
                <c:pt idx="10">
                  <c:v>496.27666666666664</c:v>
                </c:pt>
                <c:pt idx="11">
                  <c:v>497.93249999999995</c:v>
                </c:pt>
                <c:pt idx="12">
                  <c:v>496.81916666666666</c:v>
                </c:pt>
                <c:pt idx="13">
                  <c:v>499.24166666666662</c:v>
                </c:pt>
                <c:pt idx="14">
                  <c:v>495.80999999999995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02-4E9E-B5EA-87AE3369541E}"/>
            </c:ext>
          </c:extLst>
        </c:ser>
        <c:ser>
          <c:idx val="1"/>
          <c:order val="1"/>
          <c:tx>
            <c:strRef>
              <c:f>'GRÁFICO X-S'!$AB$8</c:f>
              <c:strCache>
                <c:ptCount val="1"/>
                <c:pt idx="0">
                  <c:v>LC (X̿)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X-S'!$AB$9:$AB$23</c:f>
              <c:numCache>
                <c:formatCode>0.000</c:formatCode>
                <c:ptCount val="15"/>
                <c:pt idx="0">
                  <c:v>496.58749999999998</c:v>
                </c:pt>
                <c:pt idx="1">
                  <c:v>496.58749999999998</c:v>
                </c:pt>
                <c:pt idx="2">
                  <c:v>496.58749999999998</c:v>
                </c:pt>
                <c:pt idx="3">
                  <c:v>496.58749999999998</c:v>
                </c:pt>
                <c:pt idx="4">
                  <c:v>496.58749999999998</c:v>
                </c:pt>
                <c:pt idx="5">
                  <c:v>496.58749999999998</c:v>
                </c:pt>
                <c:pt idx="6">
                  <c:v>496.58749999999998</c:v>
                </c:pt>
                <c:pt idx="7">
                  <c:v>496.58749999999998</c:v>
                </c:pt>
                <c:pt idx="8">
                  <c:v>496.58749999999998</c:v>
                </c:pt>
                <c:pt idx="9">
                  <c:v>496.58749999999998</c:v>
                </c:pt>
                <c:pt idx="10">
                  <c:v>496.58749999999998</c:v>
                </c:pt>
                <c:pt idx="11">
                  <c:v>496.58749999999998</c:v>
                </c:pt>
                <c:pt idx="12">
                  <c:v>496.58749999999998</c:v>
                </c:pt>
                <c:pt idx="13">
                  <c:v>496.58749999999998</c:v>
                </c:pt>
                <c:pt idx="14">
                  <c:v>496.58749999999998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02-4E9E-B5EA-87AE3369541E}"/>
            </c:ext>
          </c:extLst>
        </c:ser>
        <c:ser>
          <c:idx val="2"/>
          <c:order val="2"/>
          <c:tx>
            <c:strRef>
              <c:f>'GRÁFICO X-S'!$AC$8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X-S'!$AC$9:$AC$23</c:f>
              <c:numCache>
                <c:formatCode>0.000</c:formatCode>
                <c:ptCount val="15"/>
                <c:pt idx="0">
                  <c:v>499.92798563426584</c:v>
                </c:pt>
                <c:pt idx="1">
                  <c:v>499.92798563426584</c:v>
                </c:pt>
                <c:pt idx="2">
                  <c:v>499.92798563426584</c:v>
                </c:pt>
                <c:pt idx="3">
                  <c:v>499.92798563426584</c:v>
                </c:pt>
                <c:pt idx="4">
                  <c:v>499.92798563426584</c:v>
                </c:pt>
                <c:pt idx="5">
                  <c:v>499.92798563426584</c:v>
                </c:pt>
                <c:pt idx="6">
                  <c:v>499.92798563426584</c:v>
                </c:pt>
                <c:pt idx="7">
                  <c:v>499.92798563426584</c:v>
                </c:pt>
                <c:pt idx="8">
                  <c:v>499.92798563426584</c:v>
                </c:pt>
                <c:pt idx="9">
                  <c:v>499.92798563426584</c:v>
                </c:pt>
                <c:pt idx="10">
                  <c:v>499.92798563426584</c:v>
                </c:pt>
                <c:pt idx="11">
                  <c:v>499.92798563426584</c:v>
                </c:pt>
                <c:pt idx="12">
                  <c:v>499.92798563426584</c:v>
                </c:pt>
                <c:pt idx="13">
                  <c:v>499.92798563426584</c:v>
                </c:pt>
                <c:pt idx="14">
                  <c:v>499.92798563426584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02-4E9E-B5EA-87AE3369541E}"/>
            </c:ext>
          </c:extLst>
        </c:ser>
        <c:ser>
          <c:idx val="3"/>
          <c:order val="3"/>
          <c:tx>
            <c:strRef>
              <c:f>'GRÁFICO X-S'!$AD$8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X-S'!$AD$9:$AD$23</c:f>
              <c:numCache>
                <c:formatCode>0.000</c:formatCode>
                <c:ptCount val="15"/>
                <c:pt idx="0">
                  <c:v>493.24701436573412</c:v>
                </c:pt>
                <c:pt idx="1">
                  <c:v>493.24701436573412</c:v>
                </c:pt>
                <c:pt idx="2">
                  <c:v>493.24701436573412</c:v>
                </c:pt>
                <c:pt idx="3">
                  <c:v>493.24701436573412</c:v>
                </c:pt>
                <c:pt idx="4">
                  <c:v>493.24701436573412</c:v>
                </c:pt>
                <c:pt idx="5">
                  <c:v>493.24701436573412</c:v>
                </c:pt>
                <c:pt idx="6">
                  <c:v>493.24701436573412</c:v>
                </c:pt>
                <c:pt idx="7">
                  <c:v>493.24701436573412</c:v>
                </c:pt>
                <c:pt idx="8">
                  <c:v>493.24701436573412</c:v>
                </c:pt>
                <c:pt idx="9">
                  <c:v>493.24701436573412</c:v>
                </c:pt>
                <c:pt idx="10">
                  <c:v>493.24701436573412</c:v>
                </c:pt>
                <c:pt idx="11">
                  <c:v>493.24701436573412</c:v>
                </c:pt>
                <c:pt idx="12">
                  <c:v>493.24701436573412</c:v>
                </c:pt>
                <c:pt idx="13">
                  <c:v>493.24701436573412</c:v>
                </c:pt>
                <c:pt idx="14">
                  <c:v>493.24701436573412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02-4E9E-B5EA-87AE33695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554480"/>
        <c:axId val="1676555024"/>
      </c:lineChart>
      <c:catAx>
        <c:axId val="1676554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76555024"/>
        <c:crosses val="autoZero"/>
        <c:auto val="1"/>
        <c:lblAlgn val="ctr"/>
        <c:lblOffset val="100"/>
        <c:noMultiLvlLbl val="0"/>
      </c:catAx>
      <c:valAx>
        <c:axId val="16765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MEDIA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7655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 DE LA</a:t>
            </a:r>
            <a:r>
              <a:rPr lang="es-SV" b="1" baseline="0"/>
              <a:t> DESVIACIÓN ESTÁNDAR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'GRÁFICO X-S (n cambiante)'!$AE$8</c:f>
              <c:strCache>
                <c:ptCount val="1"/>
                <c:pt idx="0">
                  <c:v>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X-S (n cambiante)'!$AE$9:$AE$18</c:f>
              <c:numCache>
                <c:formatCode>0.000</c:formatCode>
                <c:ptCount val="10"/>
                <c:pt idx="0">
                  <c:v>1.4771594362153967E-2</c:v>
                </c:pt>
                <c:pt idx="1">
                  <c:v>4.5825756949560139E-3</c:v>
                </c:pt>
                <c:pt idx="2">
                  <c:v>1.4747881203753907E-2</c:v>
                </c:pt>
                <c:pt idx="3">
                  <c:v>9.0829510622951661E-3</c:v>
                </c:pt>
                <c:pt idx="4">
                  <c:v>1.2218837915282027E-2</c:v>
                </c:pt>
                <c:pt idx="5">
                  <c:v>9.9121138007998797E-3</c:v>
                </c:pt>
                <c:pt idx="6">
                  <c:v>5.4999999999991315E-3</c:v>
                </c:pt>
                <c:pt idx="7">
                  <c:v>1.2255610959883655E-2</c:v>
                </c:pt>
                <c:pt idx="8">
                  <c:v>6.3966136874620107E-3</c:v>
                </c:pt>
                <c:pt idx="9">
                  <c:v>6.2849025449911436E-3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F-489D-B4F1-87F85F0E184E}"/>
            </c:ext>
          </c:extLst>
        </c:ser>
        <c:ser>
          <c:idx val="1"/>
          <c:order val="1"/>
          <c:tx>
            <c:strRef>
              <c:f>'GRÁFICO X-S (n cambiante)'!$AF$8</c:f>
              <c:strCache>
                <c:ptCount val="1"/>
                <c:pt idx="0">
                  <c:v>PROM (S̅)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X-S (n cambiante)'!$AF$9:$AF$18</c:f>
              <c:numCache>
                <c:formatCode>0.000</c:formatCode>
                <c:ptCount val="10"/>
                <c:pt idx="0">
                  <c:v>9.5753081231576918E-3</c:v>
                </c:pt>
                <c:pt idx="1">
                  <c:v>9.5753081231576918E-3</c:v>
                </c:pt>
                <c:pt idx="2">
                  <c:v>9.5753081231576918E-3</c:v>
                </c:pt>
                <c:pt idx="3">
                  <c:v>9.5753081231576918E-3</c:v>
                </c:pt>
                <c:pt idx="4">
                  <c:v>9.5753081231576918E-3</c:v>
                </c:pt>
                <c:pt idx="5">
                  <c:v>9.5753081231576918E-3</c:v>
                </c:pt>
                <c:pt idx="6">
                  <c:v>9.5753081231576918E-3</c:v>
                </c:pt>
                <c:pt idx="7">
                  <c:v>9.5753081231576918E-3</c:v>
                </c:pt>
                <c:pt idx="8">
                  <c:v>9.5753081231576918E-3</c:v>
                </c:pt>
                <c:pt idx="9">
                  <c:v>9.5753081231576918E-3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EF-489D-B4F1-87F85F0E184E}"/>
            </c:ext>
          </c:extLst>
        </c:ser>
        <c:ser>
          <c:idx val="2"/>
          <c:order val="2"/>
          <c:tx>
            <c:strRef>
              <c:f>'GRÁFICO X-S (n cambiante)'!$AG$8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X-S (n cambiante)'!$AG$9:$AG$18</c:f>
              <c:numCache>
                <c:formatCode>0.0000</c:formatCode>
                <c:ptCount val="10"/>
                <c:pt idx="0">
                  <c:v>2.0002818669276418E-2</c:v>
                </c:pt>
                <c:pt idx="1">
                  <c:v>2.4589391260268954E-2</c:v>
                </c:pt>
                <c:pt idx="2">
                  <c:v>2.0002818669276418E-2</c:v>
                </c:pt>
                <c:pt idx="3">
                  <c:v>2.0002818669276418E-2</c:v>
                </c:pt>
                <c:pt idx="4">
                  <c:v>2.0002818669276418E-2</c:v>
                </c:pt>
                <c:pt idx="5">
                  <c:v>2.1697648207075329E-2</c:v>
                </c:pt>
                <c:pt idx="6">
                  <c:v>2.1697648207075329E-2</c:v>
                </c:pt>
                <c:pt idx="7">
                  <c:v>2.0002818669276418E-2</c:v>
                </c:pt>
                <c:pt idx="8">
                  <c:v>2.1697648207075329E-2</c:v>
                </c:pt>
                <c:pt idx="9">
                  <c:v>2.0002818669276418E-2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EF-489D-B4F1-87F85F0E184E}"/>
            </c:ext>
          </c:extLst>
        </c:ser>
        <c:ser>
          <c:idx val="3"/>
          <c:order val="3"/>
          <c:tx>
            <c:strRef>
              <c:f>'GRÁFICO X-S (n cambiante)'!$AH$8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X-S (n cambiante)'!$AH$9:$AH$18</c:f>
              <c:numCache>
                <c:formatCode>0.0000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EF-489D-B4F1-87F85F0E1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558288"/>
        <c:axId val="1676555568"/>
      </c:lineChart>
      <c:catAx>
        <c:axId val="1676558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76555568"/>
        <c:crosses val="autoZero"/>
        <c:auto val="1"/>
        <c:lblAlgn val="ctr"/>
        <c:lblOffset val="100"/>
        <c:noMultiLvlLbl val="0"/>
      </c:catAx>
      <c:valAx>
        <c:axId val="16765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DESVIACIÓN ESTÁNDAR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7655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</a:t>
            </a:r>
            <a:r>
              <a:rPr lang="es-SV" b="1" baseline="0"/>
              <a:t> DE LA MEDIAS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6978937007874015"/>
          <c:y val="0.16245370370370371"/>
          <c:w val="0.79965507436570427"/>
          <c:h val="0.51681284631087776"/>
        </c:manualLayout>
      </c:layout>
      <c:lineChart>
        <c:grouping val="standard"/>
        <c:varyColors val="0"/>
        <c:ser>
          <c:idx val="0"/>
          <c:order val="0"/>
          <c:tx>
            <c:strRef>
              <c:f>'GRÁFICO X-S (n cambiante)'!$AA$8</c:f>
              <c:strCache>
                <c:ptCount val="1"/>
                <c:pt idx="0">
                  <c:v>PROM(X̅)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X-S (n cambiante)'!$AA$9:$AA$18</c:f>
              <c:numCache>
                <c:formatCode>0.000</c:formatCode>
                <c:ptCount val="10"/>
                <c:pt idx="0">
                  <c:v>74.010199999999998</c:v>
                </c:pt>
                <c:pt idx="1">
                  <c:v>73.996000000000009</c:v>
                </c:pt>
                <c:pt idx="2">
                  <c:v>74.00800000000001</c:v>
                </c:pt>
                <c:pt idx="3">
                  <c:v>74.003</c:v>
                </c:pt>
                <c:pt idx="4">
                  <c:v>74.003400000000013</c:v>
                </c:pt>
                <c:pt idx="5">
                  <c:v>73.996250000000003</c:v>
                </c:pt>
                <c:pt idx="6">
                  <c:v>73.998750000000001</c:v>
                </c:pt>
                <c:pt idx="7">
                  <c:v>73.996799999999993</c:v>
                </c:pt>
                <c:pt idx="8">
                  <c:v>74.004249999999999</c:v>
                </c:pt>
                <c:pt idx="9">
                  <c:v>73.998000000000005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01-4B28-AA34-1ECF887E7CD6}"/>
            </c:ext>
          </c:extLst>
        </c:ser>
        <c:ser>
          <c:idx val="1"/>
          <c:order val="1"/>
          <c:tx>
            <c:strRef>
              <c:f>'GRÁFICO X-S (n cambiante)'!$AB$8</c:f>
              <c:strCache>
                <c:ptCount val="1"/>
                <c:pt idx="0">
                  <c:v>LC (X̿)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X-S (n cambiante)'!$AB$9:$AB$18</c:f>
              <c:numCache>
                <c:formatCode>0.000</c:formatCode>
                <c:ptCount val="10"/>
                <c:pt idx="0">
                  <c:v>74.001464999999996</c:v>
                </c:pt>
                <c:pt idx="1">
                  <c:v>74.001464999999996</c:v>
                </c:pt>
                <c:pt idx="2">
                  <c:v>74.001464999999996</c:v>
                </c:pt>
                <c:pt idx="3">
                  <c:v>74.001464999999996</c:v>
                </c:pt>
                <c:pt idx="4">
                  <c:v>74.001464999999996</c:v>
                </c:pt>
                <c:pt idx="5">
                  <c:v>74.001464999999996</c:v>
                </c:pt>
                <c:pt idx="6">
                  <c:v>74.001464999999996</c:v>
                </c:pt>
                <c:pt idx="7">
                  <c:v>74.001464999999996</c:v>
                </c:pt>
                <c:pt idx="8">
                  <c:v>74.001464999999996</c:v>
                </c:pt>
                <c:pt idx="9">
                  <c:v>74.001464999999996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01-4B28-AA34-1ECF887E7CD6}"/>
            </c:ext>
          </c:extLst>
        </c:ser>
        <c:ser>
          <c:idx val="2"/>
          <c:order val="2"/>
          <c:tx>
            <c:strRef>
              <c:f>'GRÁFICO X-S (n cambiante)'!$AC$8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X-S (n cambiante)'!$AC$9:$AC$18</c:f>
              <c:numCache>
                <c:formatCode>0.000</c:formatCode>
                <c:ptCount val="10"/>
                <c:pt idx="0">
                  <c:v>74.015128964691741</c:v>
                </c:pt>
                <c:pt idx="1">
                  <c:v>74.020175152072653</c:v>
                </c:pt>
                <c:pt idx="2">
                  <c:v>74.015128964691741</c:v>
                </c:pt>
                <c:pt idx="3">
                  <c:v>74.015128964691741</c:v>
                </c:pt>
                <c:pt idx="4">
                  <c:v>74.015128964691741</c:v>
                </c:pt>
                <c:pt idx="5">
                  <c:v>74.017053601624497</c:v>
                </c:pt>
                <c:pt idx="6">
                  <c:v>74.017053601624497</c:v>
                </c:pt>
                <c:pt idx="7">
                  <c:v>74.015128964691741</c:v>
                </c:pt>
                <c:pt idx="8">
                  <c:v>74.017053601624497</c:v>
                </c:pt>
                <c:pt idx="9">
                  <c:v>74.015128964691741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01-4B28-AA34-1ECF887E7CD6}"/>
            </c:ext>
          </c:extLst>
        </c:ser>
        <c:ser>
          <c:idx val="3"/>
          <c:order val="3"/>
          <c:tx>
            <c:strRef>
              <c:f>'GRÁFICO X-S (n cambiante)'!$AD$8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X-S (n cambiante)'!$AD$9:$AD$18</c:f>
              <c:numCache>
                <c:formatCode>0.000</c:formatCode>
                <c:ptCount val="10"/>
                <c:pt idx="0">
                  <c:v>73.987801035308252</c:v>
                </c:pt>
                <c:pt idx="1">
                  <c:v>73.982754847927339</c:v>
                </c:pt>
                <c:pt idx="2">
                  <c:v>73.987801035308252</c:v>
                </c:pt>
                <c:pt idx="3">
                  <c:v>73.987801035308252</c:v>
                </c:pt>
                <c:pt idx="4">
                  <c:v>73.987801035308252</c:v>
                </c:pt>
                <c:pt idx="5">
                  <c:v>73.985876398375495</c:v>
                </c:pt>
                <c:pt idx="6">
                  <c:v>73.985876398375495</c:v>
                </c:pt>
                <c:pt idx="7">
                  <c:v>73.987801035308252</c:v>
                </c:pt>
                <c:pt idx="8">
                  <c:v>73.985876398375495</c:v>
                </c:pt>
                <c:pt idx="9">
                  <c:v>73.987801035308252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01-4B28-AA34-1ECF887E7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2888256"/>
        <c:axId val="1599863136"/>
      </c:lineChart>
      <c:catAx>
        <c:axId val="141288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599863136"/>
        <c:crosses val="autoZero"/>
        <c:auto val="1"/>
        <c:lblAlgn val="ctr"/>
        <c:lblOffset val="100"/>
        <c:noMultiLvlLbl val="0"/>
      </c:catAx>
      <c:valAx>
        <c:axId val="159986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MEDIA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41288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 DE LA</a:t>
            </a:r>
            <a:r>
              <a:rPr lang="es-SV" b="1" baseline="0"/>
              <a:t> RANGOS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'GRÁFICO I'!$F$8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I'!$F$9:$F$33</c:f>
              <c:numCache>
                <c:formatCode>0.000</c:formatCode>
                <c:ptCount val="25"/>
                <c:pt idx="1">
                  <c:v>4.9999999999999822E-2</c:v>
                </c:pt>
                <c:pt idx="2">
                  <c:v>9.9999999999999645E-2</c:v>
                </c:pt>
                <c:pt idx="3">
                  <c:v>0.5</c:v>
                </c:pt>
                <c:pt idx="4">
                  <c:v>0.29999999999999982</c:v>
                </c:pt>
                <c:pt idx="5">
                  <c:v>0.45000000000000018</c:v>
                </c:pt>
                <c:pt idx="6">
                  <c:v>0.45000000000000018</c:v>
                </c:pt>
                <c:pt idx="7">
                  <c:v>0.25</c:v>
                </c:pt>
                <c:pt idx="8">
                  <c:v>0.35000000000000009</c:v>
                </c:pt>
                <c:pt idx="9">
                  <c:v>0.5</c:v>
                </c:pt>
                <c:pt idx="10">
                  <c:v>0.89999999999999991</c:v>
                </c:pt>
                <c:pt idx="11">
                  <c:v>0</c:v>
                </c:pt>
                <c:pt idx="12">
                  <c:v>0.5</c:v>
                </c:pt>
                <c:pt idx="13">
                  <c:v>0.5</c:v>
                </c:pt>
                <c:pt idx="14">
                  <c:v>0.79999999999999982</c:v>
                </c:pt>
                <c:pt idx="15">
                  <c:v>0.39999999999999991</c:v>
                </c:pt>
                <c:pt idx="16">
                  <c:v>0.20000000000000018</c:v>
                </c:pt>
                <c:pt idx="17">
                  <c:v>0.5</c:v>
                </c:pt>
                <c:pt idx="18">
                  <c:v>0.44999999999999973</c:v>
                </c:pt>
                <c:pt idx="19">
                  <c:v>0.10000000000000009</c:v>
                </c:pt>
                <c:pt idx="20">
                  <c:v>0.19999999999999973</c:v>
                </c:pt>
                <c:pt idx="21">
                  <c:v>0.15000000000000036</c:v>
                </c:pt>
                <c:pt idx="22">
                  <c:v>0.45000000000000018</c:v>
                </c:pt>
                <c:pt idx="23">
                  <c:v>0.25</c:v>
                </c:pt>
                <c:pt idx="24">
                  <c:v>0.10000000000000009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10-4AE6-B9E2-05888D83920B}"/>
            </c:ext>
          </c:extLst>
        </c:ser>
        <c:ser>
          <c:idx val="1"/>
          <c:order val="1"/>
          <c:tx>
            <c:strRef>
              <c:f>'GRÁFICO I'!$G$8</c:f>
              <c:strCache>
                <c:ptCount val="1"/>
                <c:pt idx="0">
                  <c:v>PROM (R̅)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I'!$G$9:$G$33</c:f>
              <c:numCache>
                <c:formatCode>0.000</c:formatCode>
                <c:ptCount val="25"/>
                <c:pt idx="0">
                  <c:v>0.35208333333333325</c:v>
                </c:pt>
                <c:pt idx="1">
                  <c:v>0.35208333333333325</c:v>
                </c:pt>
                <c:pt idx="2">
                  <c:v>0.35208333333333325</c:v>
                </c:pt>
                <c:pt idx="3">
                  <c:v>0.35208333333333325</c:v>
                </c:pt>
                <c:pt idx="4">
                  <c:v>0.35208333333333325</c:v>
                </c:pt>
                <c:pt idx="5">
                  <c:v>0.35208333333333325</c:v>
                </c:pt>
                <c:pt idx="6">
                  <c:v>0.35208333333333325</c:v>
                </c:pt>
                <c:pt idx="7">
                  <c:v>0.35208333333333325</c:v>
                </c:pt>
                <c:pt idx="8">
                  <c:v>0.35208333333333325</c:v>
                </c:pt>
                <c:pt idx="9">
                  <c:v>0.35208333333333325</c:v>
                </c:pt>
                <c:pt idx="10">
                  <c:v>0.35208333333333325</c:v>
                </c:pt>
                <c:pt idx="11">
                  <c:v>0.35208333333333325</c:v>
                </c:pt>
                <c:pt idx="12">
                  <c:v>0.35208333333333325</c:v>
                </c:pt>
                <c:pt idx="13">
                  <c:v>0.35208333333333325</c:v>
                </c:pt>
                <c:pt idx="14">
                  <c:v>0.35208333333333325</c:v>
                </c:pt>
                <c:pt idx="15">
                  <c:v>0.35208333333333325</c:v>
                </c:pt>
                <c:pt idx="16">
                  <c:v>0.35208333333333325</c:v>
                </c:pt>
                <c:pt idx="17">
                  <c:v>0.35208333333333325</c:v>
                </c:pt>
                <c:pt idx="18">
                  <c:v>0.35208333333333325</c:v>
                </c:pt>
                <c:pt idx="19">
                  <c:v>0.35208333333333325</c:v>
                </c:pt>
                <c:pt idx="20">
                  <c:v>0.35208333333333325</c:v>
                </c:pt>
                <c:pt idx="21">
                  <c:v>0.35208333333333325</c:v>
                </c:pt>
                <c:pt idx="22">
                  <c:v>0.35208333333333325</c:v>
                </c:pt>
                <c:pt idx="23">
                  <c:v>0.35208333333333325</c:v>
                </c:pt>
                <c:pt idx="24">
                  <c:v>0.35208333333333325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10-4AE6-B9E2-05888D83920B}"/>
            </c:ext>
          </c:extLst>
        </c:ser>
        <c:ser>
          <c:idx val="2"/>
          <c:order val="2"/>
          <c:tx>
            <c:strRef>
              <c:f>'GRÁFICO I'!$H$8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I'!$H$9:$H$33</c:f>
              <c:numCache>
                <c:formatCode>0.0000</c:formatCode>
                <c:ptCount val="25"/>
                <c:pt idx="0">
                  <c:v>1.1502562499999998</c:v>
                </c:pt>
                <c:pt idx="1">
                  <c:v>1.1502562499999998</c:v>
                </c:pt>
                <c:pt idx="2">
                  <c:v>1.1502562499999998</c:v>
                </c:pt>
                <c:pt idx="3">
                  <c:v>1.1502562499999998</c:v>
                </c:pt>
                <c:pt idx="4">
                  <c:v>1.1502562499999998</c:v>
                </c:pt>
                <c:pt idx="5">
                  <c:v>1.1502562499999998</c:v>
                </c:pt>
                <c:pt idx="6">
                  <c:v>1.1502562499999998</c:v>
                </c:pt>
                <c:pt idx="7">
                  <c:v>1.1502562499999998</c:v>
                </c:pt>
                <c:pt idx="8">
                  <c:v>1.1502562499999998</c:v>
                </c:pt>
                <c:pt idx="9">
                  <c:v>1.1502562499999998</c:v>
                </c:pt>
                <c:pt idx="10">
                  <c:v>1.1502562499999998</c:v>
                </c:pt>
                <c:pt idx="11">
                  <c:v>1.1502562499999998</c:v>
                </c:pt>
                <c:pt idx="12">
                  <c:v>1.1502562499999998</c:v>
                </c:pt>
                <c:pt idx="13">
                  <c:v>1.1502562499999998</c:v>
                </c:pt>
                <c:pt idx="14">
                  <c:v>1.1502562499999998</c:v>
                </c:pt>
                <c:pt idx="15">
                  <c:v>1.1502562499999998</c:v>
                </c:pt>
                <c:pt idx="16">
                  <c:v>1.1502562499999998</c:v>
                </c:pt>
                <c:pt idx="17">
                  <c:v>1.1502562499999998</c:v>
                </c:pt>
                <c:pt idx="18">
                  <c:v>1.1502562499999998</c:v>
                </c:pt>
                <c:pt idx="19">
                  <c:v>1.1502562499999998</c:v>
                </c:pt>
                <c:pt idx="20">
                  <c:v>1.1502562499999998</c:v>
                </c:pt>
                <c:pt idx="21">
                  <c:v>1.1502562499999998</c:v>
                </c:pt>
                <c:pt idx="22">
                  <c:v>1.1502562499999998</c:v>
                </c:pt>
                <c:pt idx="23">
                  <c:v>1.1502562499999998</c:v>
                </c:pt>
                <c:pt idx="24">
                  <c:v>1.1502562499999998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0-4AE6-B9E2-05888D83920B}"/>
            </c:ext>
          </c:extLst>
        </c:ser>
        <c:ser>
          <c:idx val="3"/>
          <c:order val="3"/>
          <c:tx>
            <c:strRef>
              <c:f>'GRÁFICO I'!$I$8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I'!$I$9:$I$33</c:f>
              <c:numCache>
                <c:formatCode>0.0000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10-4AE6-B9E2-05888D839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569808"/>
        <c:axId val="1687568720"/>
      </c:lineChart>
      <c:catAx>
        <c:axId val="1687569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8720"/>
        <c:crosses val="autoZero"/>
        <c:auto val="1"/>
        <c:lblAlgn val="ctr"/>
        <c:lblOffset val="100"/>
        <c:noMultiLvlLbl val="0"/>
      </c:catAx>
      <c:valAx>
        <c:axId val="168756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RANGO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9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</a:t>
            </a:r>
            <a:r>
              <a:rPr lang="es-SV" b="1" baseline="0"/>
              <a:t> DE LA VALORES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6978937007874015"/>
          <c:y val="0.16245370370370371"/>
          <c:w val="0.79965507436570427"/>
          <c:h val="0.51681284631087776"/>
        </c:manualLayout>
      </c:layout>
      <c:lineChart>
        <c:grouping val="standard"/>
        <c:varyColors val="0"/>
        <c:ser>
          <c:idx val="0"/>
          <c:order val="0"/>
          <c:tx>
            <c:strRef>
              <c:f>'GRÁFICO I'!$B$8</c:f>
              <c:strCache>
                <c:ptCount val="1"/>
                <c:pt idx="0">
                  <c:v>VALOR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I'!$B$9:$B$33</c:f>
              <c:numCache>
                <c:formatCode>General</c:formatCode>
                <c:ptCount val="25"/>
                <c:pt idx="0">
                  <c:v>3.75</c:v>
                </c:pt>
                <c:pt idx="1">
                  <c:v>3.8</c:v>
                </c:pt>
                <c:pt idx="2">
                  <c:v>3.7</c:v>
                </c:pt>
                <c:pt idx="3">
                  <c:v>3.2</c:v>
                </c:pt>
                <c:pt idx="4">
                  <c:v>3.5</c:v>
                </c:pt>
                <c:pt idx="5">
                  <c:v>3.05</c:v>
                </c:pt>
                <c:pt idx="6">
                  <c:v>3.5</c:v>
                </c:pt>
                <c:pt idx="7">
                  <c:v>3.25</c:v>
                </c:pt>
                <c:pt idx="8">
                  <c:v>3.6</c:v>
                </c:pt>
                <c:pt idx="9">
                  <c:v>3.1</c:v>
                </c:pt>
                <c:pt idx="10" formatCode="0.000">
                  <c:v>4</c:v>
                </c:pt>
                <c:pt idx="11" formatCode="0.000">
                  <c:v>4</c:v>
                </c:pt>
                <c:pt idx="12" formatCode="0.000">
                  <c:v>3.5</c:v>
                </c:pt>
                <c:pt idx="13" formatCode="0.000">
                  <c:v>3</c:v>
                </c:pt>
                <c:pt idx="14" formatCode="0.000">
                  <c:v>3.8</c:v>
                </c:pt>
                <c:pt idx="15" formatCode="0.000">
                  <c:v>3.4</c:v>
                </c:pt>
                <c:pt idx="16" formatCode="0.000">
                  <c:v>3.6</c:v>
                </c:pt>
                <c:pt idx="17" formatCode="0.000">
                  <c:v>3.1</c:v>
                </c:pt>
                <c:pt idx="18" formatCode="0.000">
                  <c:v>3.55</c:v>
                </c:pt>
                <c:pt idx="19" formatCode="0.000">
                  <c:v>3.65</c:v>
                </c:pt>
                <c:pt idx="20" formatCode="0.000">
                  <c:v>3.45</c:v>
                </c:pt>
                <c:pt idx="21" formatCode="0.000">
                  <c:v>3.3</c:v>
                </c:pt>
                <c:pt idx="22" formatCode="0.000">
                  <c:v>3.75</c:v>
                </c:pt>
                <c:pt idx="23" formatCode="0.000">
                  <c:v>3.5</c:v>
                </c:pt>
                <c:pt idx="24" formatCode="0.000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44-4E94-9B8B-5DA791ACE09B}"/>
            </c:ext>
          </c:extLst>
        </c:ser>
        <c:ser>
          <c:idx val="1"/>
          <c:order val="1"/>
          <c:tx>
            <c:strRef>
              <c:f>'GRÁFICO I'!$C$8</c:f>
              <c:strCache>
                <c:ptCount val="1"/>
                <c:pt idx="0">
                  <c:v>LC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'GRÁFICO I'!$C$9:$C$33</c:f>
              <c:numCache>
                <c:formatCode>0.000</c:formatCode>
                <c:ptCount val="25"/>
                <c:pt idx="0">
                  <c:v>3.4980000000000007</c:v>
                </c:pt>
                <c:pt idx="1">
                  <c:v>3.4980000000000007</c:v>
                </c:pt>
                <c:pt idx="2">
                  <c:v>3.4980000000000007</c:v>
                </c:pt>
                <c:pt idx="3">
                  <c:v>3.4980000000000007</c:v>
                </c:pt>
                <c:pt idx="4">
                  <c:v>3.4980000000000007</c:v>
                </c:pt>
                <c:pt idx="5">
                  <c:v>3.4980000000000007</c:v>
                </c:pt>
                <c:pt idx="6">
                  <c:v>3.4980000000000007</c:v>
                </c:pt>
                <c:pt idx="7">
                  <c:v>3.4980000000000007</c:v>
                </c:pt>
                <c:pt idx="8">
                  <c:v>3.4980000000000007</c:v>
                </c:pt>
                <c:pt idx="9">
                  <c:v>3.4980000000000007</c:v>
                </c:pt>
                <c:pt idx="10">
                  <c:v>3.4980000000000007</c:v>
                </c:pt>
                <c:pt idx="11">
                  <c:v>3.4980000000000007</c:v>
                </c:pt>
                <c:pt idx="12">
                  <c:v>3.4980000000000007</c:v>
                </c:pt>
                <c:pt idx="13">
                  <c:v>3.4980000000000007</c:v>
                </c:pt>
                <c:pt idx="14">
                  <c:v>3.4980000000000007</c:v>
                </c:pt>
                <c:pt idx="15">
                  <c:v>3.4980000000000007</c:v>
                </c:pt>
                <c:pt idx="16">
                  <c:v>3.4980000000000007</c:v>
                </c:pt>
                <c:pt idx="17">
                  <c:v>3.4980000000000007</c:v>
                </c:pt>
                <c:pt idx="18">
                  <c:v>3.4980000000000007</c:v>
                </c:pt>
                <c:pt idx="19">
                  <c:v>3.4980000000000007</c:v>
                </c:pt>
                <c:pt idx="20">
                  <c:v>3.4980000000000007</c:v>
                </c:pt>
                <c:pt idx="21">
                  <c:v>3.4980000000000007</c:v>
                </c:pt>
                <c:pt idx="22">
                  <c:v>3.4980000000000007</c:v>
                </c:pt>
                <c:pt idx="23">
                  <c:v>3.4980000000000007</c:v>
                </c:pt>
                <c:pt idx="24">
                  <c:v>3.4980000000000007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44-4E94-9B8B-5DA791ACE09B}"/>
            </c:ext>
          </c:extLst>
        </c:ser>
        <c:ser>
          <c:idx val="2"/>
          <c:order val="2"/>
          <c:tx>
            <c:strRef>
              <c:f>'GRÁFICO I'!$D$8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'GRÁFICO I'!$D$9:$D$33</c:f>
              <c:numCache>
                <c:formatCode>0.000</c:formatCode>
                <c:ptCount val="25"/>
                <c:pt idx="0">
                  <c:v>4.4343918439716319</c:v>
                </c:pt>
                <c:pt idx="1">
                  <c:v>4.4343918439716319</c:v>
                </c:pt>
                <c:pt idx="2">
                  <c:v>4.4343918439716319</c:v>
                </c:pt>
                <c:pt idx="3">
                  <c:v>4.4343918439716319</c:v>
                </c:pt>
                <c:pt idx="4">
                  <c:v>4.4343918439716319</c:v>
                </c:pt>
                <c:pt idx="5">
                  <c:v>4.4343918439716319</c:v>
                </c:pt>
                <c:pt idx="6">
                  <c:v>4.4343918439716319</c:v>
                </c:pt>
                <c:pt idx="7">
                  <c:v>4.4343918439716319</c:v>
                </c:pt>
                <c:pt idx="8">
                  <c:v>4.4343918439716319</c:v>
                </c:pt>
                <c:pt idx="9">
                  <c:v>4.4343918439716319</c:v>
                </c:pt>
                <c:pt idx="10">
                  <c:v>4.4343918439716319</c:v>
                </c:pt>
                <c:pt idx="11">
                  <c:v>4.4343918439716319</c:v>
                </c:pt>
                <c:pt idx="12">
                  <c:v>4.4343918439716319</c:v>
                </c:pt>
                <c:pt idx="13">
                  <c:v>4.4343918439716319</c:v>
                </c:pt>
                <c:pt idx="14">
                  <c:v>4.4343918439716319</c:v>
                </c:pt>
                <c:pt idx="15">
                  <c:v>4.4343918439716319</c:v>
                </c:pt>
                <c:pt idx="16">
                  <c:v>4.4343918439716319</c:v>
                </c:pt>
                <c:pt idx="17">
                  <c:v>4.4343918439716319</c:v>
                </c:pt>
                <c:pt idx="18">
                  <c:v>4.4343918439716319</c:v>
                </c:pt>
                <c:pt idx="19">
                  <c:v>4.4343918439716319</c:v>
                </c:pt>
                <c:pt idx="20">
                  <c:v>4.4343918439716319</c:v>
                </c:pt>
                <c:pt idx="21">
                  <c:v>4.4343918439716319</c:v>
                </c:pt>
                <c:pt idx="22">
                  <c:v>4.4343918439716319</c:v>
                </c:pt>
                <c:pt idx="23">
                  <c:v>4.4343918439716319</c:v>
                </c:pt>
                <c:pt idx="24">
                  <c:v>4.4343918439716319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44-4E94-9B8B-5DA791ACE09B}"/>
            </c:ext>
          </c:extLst>
        </c:ser>
        <c:ser>
          <c:idx val="3"/>
          <c:order val="3"/>
          <c:tx>
            <c:strRef>
              <c:f>'GRÁFICO I'!$E$8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'GRÁFICO I'!$E$9:$E$33</c:f>
              <c:numCache>
                <c:formatCode>0.000</c:formatCode>
                <c:ptCount val="25"/>
                <c:pt idx="0">
                  <c:v>2.5616081560283694</c:v>
                </c:pt>
                <c:pt idx="1">
                  <c:v>2.5616081560283694</c:v>
                </c:pt>
                <c:pt idx="2">
                  <c:v>2.5616081560283694</c:v>
                </c:pt>
                <c:pt idx="3">
                  <c:v>2.5616081560283694</c:v>
                </c:pt>
                <c:pt idx="4">
                  <c:v>2.5616081560283694</c:v>
                </c:pt>
                <c:pt idx="5">
                  <c:v>2.5616081560283694</c:v>
                </c:pt>
                <c:pt idx="6">
                  <c:v>2.5616081560283694</c:v>
                </c:pt>
                <c:pt idx="7">
                  <c:v>2.5616081560283694</c:v>
                </c:pt>
                <c:pt idx="8">
                  <c:v>2.5616081560283694</c:v>
                </c:pt>
                <c:pt idx="9">
                  <c:v>2.5616081560283694</c:v>
                </c:pt>
                <c:pt idx="10">
                  <c:v>2.5616081560283694</c:v>
                </c:pt>
                <c:pt idx="11">
                  <c:v>2.5616081560283694</c:v>
                </c:pt>
                <c:pt idx="12">
                  <c:v>2.5616081560283694</c:v>
                </c:pt>
                <c:pt idx="13">
                  <c:v>2.5616081560283694</c:v>
                </c:pt>
                <c:pt idx="14">
                  <c:v>2.5616081560283694</c:v>
                </c:pt>
                <c:pt idx="15">
                  <c:v>2.5616081560283694</c:v>
                </c:pt>
                <c:pt idx="16">
                  <c:v>2.5616081560283694</c:v>
                </c:pt>
                <c:pt idx="17">
                  <c:v>2.5616081560283694</c:v>
                </c:pt>
                <c:pt idx="18">
                  <c:v>2.5616081560283694</c:v>
                </c:pt>
                <c:pt idx="19">
                  <c:v>2.5616081560283694</c:v>
                </c:pt>
                <c:pt idx="20">
                  <c:v>2.5616081560283694</c:v>
                </c:pt>
                <c:pt idx="21">
                  <c:v>2.5616081560283694</c:v>
                </c:pt>
                <c:pt idx="22">
                  <c:v>2.5616081560283694</c:v>
                </c:pt>
                <c:pt idx="23">
                  <c:v>2.5616081560283694</c:v>
                </c:pt>
                <c:pt idx="24">
                  <c:v>2.5616081560283694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44-4E94-9B8B-5DA791ACE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563824"/>
        <c:axId val="1687558928"/>
      </c:lineChart>
      <c:catAx>
        <c:axId val="1687563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58928"/>
        <c:crosses val="autoZero"/>
        <c:auto val="1"/>
        <c:lblAlgn val="ctr"/>
        <c:lblOffset val="100"/>
        <c:noMultiLvlLbl val="0"/>
      </c:catAx>
      <c:valAx>
        <c:axId val="168755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VALOR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 DE PROPROCIÓN APROXIMADO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3211387631453461"/>
          <c:y val="0.16939429590309532"/>
          <c:w val="0.83935395225803866"/>
          <c:h val="0.52845484781355045"/>
        </c:manualLayout>
      </c:layout>
      <c:lineChart>
        <c:grouping val="standard"/>
        <c:varyColors val="0"/>
        <c:ser>
          <c:idx val="0"/>
          <c:order val="0"/>
          <c:tx>
            <c:strRef>
              <c:f>'GRÁFICO P'!$M$8</c:f>
              <c:strCache>
                <c:ptCount val="1"/>
                <c:pt idx="0">
                  <c:v>FRACCIÓN DE UNIDADES DEFECTUOSAS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P'!$M$9:$M$33</c:f>
              <c:numCache>
                <c:formatCode>0.0000</c:formatCode>
                <c:ptCount val="25"/>
                <c:pt idx="0">
                  <c:v>0.03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  <c:pt idx="4">
                  <c:v>0.02</c:v>
                </c:pt>
                <c:pt idx="5">
                  <c:v>0.05</c:v>
                </c:pt>
                <c:pt idx="6">
                  <c:v>0.03</c:v>
                </c:pt>
                <c:pt idx="7">
                  <c:v>0.06</c:v>
                </c:pt>
                <c:pt idx="8">
                  <c:v>0.01</c:v>
                </c:pt>
                <c:pt idx="9">
                  <c:v>0.04</c:v>
                </c:pt>
                <c:pt idx="10">
                  <c:v>0</c:v>
                </c:pt>
                <c:pt idx="11">
                  <c:v>0.02</c:v>
                </c:pt>
                <c:pt idx="12">
                  <c:v>0.01</c:v>
                </c:pt>
                <c:pt idx="13">
                  <c:v>0.03</c:v>
                </c:pt>
                <c:pt idx="14">
                  <c:v>0.04</c:v>
                </c:pt>
                <c:pt idx="15">
                  <c:v>0.01</c:v>
                </c:pt>
                <c:pt idx="16">
                  <c:v>0.01</c:v>
                </c:pt>
                <c:pt idx="17">
                  <c:v>0.02</c:v>
                </c:pt>
                <c:pt idx="18">
                  <c:v>0.05</c:v>
                </c:pt>
                <c:pt idx="19">
                  <c:v>0.02</c:v>
                </c:pt>
                <c:pt idx="20">
                  <c:v>0.03</c:v>
                </c:pt>
                <c:pt idx="21">
                  <c:v>0.04</c:v>
                </c:pt>
                <c:pt idx="22">
                  <c:v>0.01</c:v>
                </c:pt>
                <c:pt idx="23">
                  <c:v>0</c:v>
                </c:pt>
                <c:pt idx="2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9-4D0C-BDF0-76697BE72F6B}"/>
            </c:ext>
          </c:extLst>
        </c:ser>
        <c:ser>
          <c:idx val="1"/>
          <c:order val="1"/>
          <c:tx>
            <c:strRef>
              <c:f>'GRÁFICO P'!$N$8</c:f>
              <c:strCache>
                <c:ptCount val="1"/>
                <c:pt idx="0">
                  <c:v>LC(P)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P'!$N$9:$N$33</c:f>
              <c:numCache>
                <c:formatCode>0.0000</c:formatCode>
                <c:ptCount val="25"/>
                <c:pt idx="0">
                  <c:v>2.2000000000000002E-2</c:v>
                </c:pt>
                <c:pt idx="1">
                  <c:v>2.2000000000000002E-2</c:v>
                </c:pt>
                <c:pt idx="2">
                  <c:v>2.2000000000000002E-2</c:v>
                </c:pt>
                <c:pt idx="3">
                  <c:v>2.2000000000000002E-2</c:v>
                </c:pt>
                <c:pt idx="4">
                  <c:v>2.2000000000000002E-2</c:v>
                </c:pt>
                <c:pt idx="5">
                  <c:v>2.2000000000000002E-2</c:v>
                </c:pt>
                <c:pt idx="6">
                  <c:v>2.2000000000000002E-2</c:v>
                </c:pt>
                <c:pt idx="7">
                  <c:v>2.2000000000000002E-2</c:v>
                </c:pt>
                <c:pt idx="8">
                  <c:v>2.2000000000000002E-2</c:v>
                </c:pt>
                <c:pt idx="9">
                  <c:v>2.2000000000000002E-2</c:v>
                </c:pt>
                <c:pt idx="10">
                  <c:v>2.2000000000000002E-2</c:v>
                </c:pt>
                <c:pt idx="11">
                  <c:v>2.2000000000000002E-2</c:v>
                </c:pt>
                <c:pt idx="12">
                  <c:v>2.2000000000000002E-2</c:v>
                </c:pt>
                <c:pt idx="13">
                  <c:v>2.2000000000000002E-2</c:v>
                </c:pt>
                <c:pt idx="14">
                  <c:v>2.2000000000000002E-2</c:v>
                </c:pt>
                <c:pt idx="15">
                  <c:v>2.2000000000000002E-2</c:v>
                </c:pt>
                <c:pt idx="16">
                  <c:v>2.2000000000000002E-2</c:v>
                </c:pt>
                <c:pt idx="17">
                  <c:v>2.2000000000000002E-2</c:v>
                </c:pt>
                <c:pt idx="18">
                  <c:v>2.2000000000000002E-2</c:v>
                </c:pt>
                <c:pt idx="19">
                  <c:v>2.2000000000000002E-2</c:v>
                </c:pt>
                <c:pt idx="20">
                  <c:v>2.2000000000000002E-2</c:v>
                </c:pt>
                <c:pt idx="21">
                  <c:v>2.2000000000000002E-2</c:v>
                </c:pt>
                <c:pt idx="22">
                  <c:v>2.2000000000000002E-2</c:v>
                </c:pt>
                <c:pt idx="23">
                  <c:v>2.2000000000000002E-2</c:v>
                </c:pt>
                <c:pt idx="24">
                  <c:v>2.2000000000000002E-2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D9-4D0C-BDF0-76697BE72F6B}"/>
            </c:ext>
          </c:extLst>
        </c:ser>
        <c:ser>
          <c:idx val="2"/>
          <c:order val="2"/>
          <c:tx>
            <c:strRef>
              <c:f>'GRÁFICO P'!$O$8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P'!$O$9:$O$33</c:f>
              <c:numCache>
                <c:formatCode>0.0000</c:formatCode>
                <c:ptCount val="25"/>
                <c:pt idx="0">
                  <c:v>6.600499971594137E-2</c:v>
                </c:pt>
                <c:pt idx="1">
                  <c:v>6.600499971594137E-2</c:v>
                </c:pt>
                <c:pt idx="2">
                  <c:v>6.600499971594137E-2</c:v>
                </c:pt>
                <c:pt idx="3">
                  <c:v>6.600499971594137E-2</c:v>
                </c:pt>
                <c:pt idx="4">
                  <c:v>6.600499971594137E-2</c:v>
                </c:pt>
                <c:pt idx="5">
                  <c:v>6.600499971594137E-2</c:v>
                </c:pt>
                <c:pt idx="6">
                  <c:v>6.600499971594137E-2</c:v>
                </c:pt>
                <c:pt idx="7">
                  <c:v>6.600499971594137E-2</c:v>
                </c:pt>
                <c:pt idx="8">
                  <c:v>6.600499971594137E-2</c:v>
                </c:pt>
                <c:pt idx="9">
                  <c:v>6.600499971594137E-2</c:v>
                </c:pt>
                <c:pt idx="10">
                  <c:v>6.600499971594137E-2</c:v>
                </c:pt>
                <c:pt idx="11">
                  <c:v>6.600499971594137E-2</c:v>
                </c:pt>
                <c:pt idx="12">
                  <c:v>6.600499971594137E-2</c:v>
                </c:pt>
                <c:pt idx="13">
                  <c:v>6.600499971594137E-2</c:v>
                </c:pt>
                <c:pt idx="14">
                  <c:v>6.600499971594137E-2</c:v>
                </c:pt>
                <c:pt idx="15">
                  <c:v>6.600499971594137E-2</c:v>
                </c:pt>
                <c:pt idx="16">
                  <c:v>6.600499971594137E-2</c:v>
                </c:pt>
                <c:pt idx="17">
                  <c:v>6.600499971594137E-2</c:v>
                </c:pt>
                <c:pt idx="18">
                  <c:v>6.600499971594137E-2</c:v>
                </c:pt>
                <c:pt idx="19">
                  <c:v>6.600499971594137E-2</c:v>
                </c:pt>
                <c:pt idx="20">
                  <c:v>6.600499971594137E-2</c:v>
                </c:pt>
                <c:pt idx="21">
                  <c:v>6.600499971594137E-2</c:v>
                </c:pt>
                <c:pt idx="22">
                  <c:v>6.600499971594137E-2</c:v>
                </c:pt>
                <c:pt idx="23">
                  <c:v>6.600499971594137E-2</c:v>
                </c:pt>
                <c:pt idx="24">
                  <c:v>6.600499971594137E-2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D9-4D0C-BDF0-76697BE72F6B}"/>
            </c:ext>
          </c:extLst>
        </c:ser>
        <c:ser>
          <c:idx val="3"/>
          <c:order val="3"/>
          <c:tx>
            <c:strRef>
              <c:f>'GRÁFICO P'!$P$8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P'!$P$9:$P$33</c:f>
              <c:numCache>
                <c:formatCode>0.0000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D9-4D0C-BDF0-76697BE72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557840"/>
        <c:axId val="1687555664"/>
      </c:lineChart>
      <c:catAx>
        <c:axId val="1687557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55664"/>
        <c:crosses val="autoZero"/>
        <c:auto val="1"/>
        <c:lblAlgn val="ctr"/>
        <c:lblOffset val="100"/>
        <c:noMultiLvlLbl val="0"/>
      </c:catAx>
      <c:valAx>
        <c:axId val="168755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PROPORCIÓN APROXIMADO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5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</a:t>
            </a:r>
            <a:r>
              <a:rPr lang="es-SV" b="1" baseline="0"/>
              <a:t> DE PROPORCIÓN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6978937007874015"/>
          <c:y val="0.16245370370370371"/>
          <c:w val="0.79965507436570427"/>
          <c:h val="0.51681284631087776"/>
        </c:manualLayout>
      </c:layout>
      <c:lineChart>
        <c:grouping val="standard"/>
        <c:varyColors val="0"/>
        <c:ser>
          <c:idx val="0"/>
          <c:order val="0"/>
          <c:tx>
            <c:strRef>
              <c:f>'GRÁFICO P'!$F$8</c:f>
              <c:strCache>
                <c:ptCount val="1"/>
                <c:pt idx="0">
                  <c:v>FRACCIÓN DE UNIDADES DEFECTUOSAS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P'!$F$9:$F$33</c:f>
              <c:numCache>
                <c:formatCode>0.0000</c:formatCode>
                <c:ptCount val="25"/>
                <c:pt idx="0">
                  <c:v>0.03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  <c:pt idx="4">
                  <c:v>0.02</c:v>
                </c:pt>
                <c:pt idx="5">
                  <c:v>0.05</c:v>
                </c:pt>
                <c:pt idx="6">
                  <c:v>0.03</c:v>
                </c:pt>
                <c:pt idx="7">
                  <c:v>0.06</c:v>
                </c:pt>
                <c:pt idx="8">
                  <c:v>0.01</c:v>
                </c:pt>
                <c:pt idx="9">
                  <c:v>0.04</c:v>
                </c:pt>
                <c:pt idx="10">
                  <c:v>0</c:v>
                </c:pt>
                <c:pt idx="11">
                  <c:v>0.02</c:v>
                </c:pt>
                <c:pt idx="12">
                  <c:v>0.01</c:v>
                </c:pt>
                <c:pt idx="13">
                  <c:v>0.03</c:v>
                </c:pt>
                <c:pt idx="14">
                  <c:v>0.04</c:v>
                </c:pt>
                <c:pt idx="15">
                  <c:v>0.01</c:v>
                </c:pt>
                <c:pt idx="16">
                  <c:v>0.01</c:v>
                </c:pt>
                <c:pt idx="17">
                  <c:v>0.02</c:v>
                </c:pt>
                <c:pt idx="18">
                  <c:v>0.05</c:v>
                </c:pt>
                <c:pt idx="19">
                  <c:v>0.02</c:v>
                </c:pt>
                <c:pt idx="20">
                  <c:v>0.03</c:v>
                </c:pt>
                <c:pt idx="21">
                  <c:v>0.04</c:v>
                </c:pt>
                <c:pt idx="22">
                  <c:v>0.01</c:v>
                </c:pt>
                <c:pt idx="23">
                  <c:v>0</c:v>
                </c:pt>
                <c:pt idx="2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7-4614-A9BA-0D5E222E642E}"/>
            </c:ext>
          </c:extLst>
        </c:ser>
        <c:ser>
          <c:idx val="1"/>
          <c:order val="1"/>
          <c:tx>
            <c:strRef>
              <c:f>'GRÁFICO P'!$G$8</c:f>
              <c:strCache>
                <c:ptCount val="1"/>
                <c:pt idx="0">
                  <c:v>LC(P)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P'!$G$9:$G$33</c:f>
              <c:numCache>
                <c:formatCode>0.0000</c:formatCode>
                <c:ptCount val="25"/>
                <c:pt idx="0">
                  <c:v>2.2000000000000002E-2</c:v>
                </c:pt>
                <c:pt idx="1">
                  <c:v>2.2000000000000002E-2</c:v>
                </c:pt>
                <c:pt idx="2">
                  <c:v>2.2000000000000002E-2</c:v>
                </c:pt>
                <c:pt idx="3">
                  <c:v>2.2000000000000002E-2</c:v>
                </c:pt>
                <c:pt idx="4">
                  <c:v>2.2000000000000002E-2</c:v>
                </c:pt>
                <c:pt idx="5">
                  <c:v>2.2000000000000002E-2</c:v>
                </c:pt>
                <c:pt idx="6">
                  <c:v>2.2000000000000002E-2</c:v>
                </c:pt>
                <c:pt idx="7">
                  <c:v>2.2000000000000002E-2</c:v>
                </c:pt>
                <c:pt idx="8">
                  <c:v>2.2000000000000002E-2</c:v>
                </c:pt>
                <c:pt idx="9">
                  <c:v>2.2000000000000002E-2</c:v>
                </c:pt>
                <c:pt idx="10">
                  <c:v>2.2000000000000002E-2</c:v>
                </c:pt>
                <c:pt idx="11">
                  <c:v>2.2000000000000002E-2</c:v>
                </c:pt>
                <c:pt idx="12">
                  <c:v>2.2000000000000002E-2</c:v>
                </c:pt>
                <c:pt idx="13">
                  <c:v>2.2000000000000002E-2</c:v>
                </c:pt>
                <c:pt idx="14">
                  <c:v>2.2000000000000002E-2</c:v>
                </c:pt>
                <c:pt idx="15">
                  <c:v>2.2000000000000002E-2</c:v>
                </c:pt>
                <c:pt idx="16">
                  <c:v>2.2000000000000002E-2</c:v>
                </c:pt>
                <c:pt idx="17">
                  <c:v>2.2000000000000002E-2</c:v>
                </c:pt>
                <c:pt idx="18">
                  <c:v>2.2000000000000002E-2</c:v>
                </c:pt>
                <c:pt idx="19">
                  <c:v>2.2000000000000002E-2</c:v>
                </c:pt>
                <c:pt idx="20">
                  <c:v>2.2000000000000002E-2</c:v>
                </c:pt>
                <c:pt idx="21">
                  <c:v>2.2000000000000002E-2</c:v>
                </c:pt>
                <c:pt idx="22">
                  <c:v>2.2000000000000002E-2</c:v>
                </c:pt>
                <c:pt idx="23">
                  <c:v>2.2000000000000002E-2</c:v>
                </c:pt>
                <c:pt idx="24">
                  <c:v>2.2000000000000002E-2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7-4614-A9BA-0D5E222E642E}"/>
            </c:ext>
          </c:extLst>
        </c:ser>
        <c:ser>
          <c:idx val="2"/>
          <c:order val="2"/>
          <c:tx>
            <c:strRef>
              <c:f>'GRÁFICO P'!$H$8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P'!$H$9:$H$33</c:f>
              <c:numCache>
                <c:formatCode>0.0000</c:formatCode>
                <c:ptCount val="25"/>
                <c:pt idx="0">
                  <c:v>6.600499971594137E-2</c:v>
                </c:pt>
                <c:pt idx="1">
                  <c:v>6.600499971594137E-2</c:v>
                </c:pt>
                <c:pt idx="2">
                  <c:v>6.600499971594137E-2</c:v>
                </c:pt>
                <c:pt idx="3">
                  <c:v>6.600499971594137E-2</c:v>
                </c:pt>
                <c:pt idx="4">
                  <c:v>6.600499971594137E-2</c:v>
                </c:pt>
                <c:pt idx="5">
                  <c:v>6.600499971594137E-2</c:v>
                </c:pt>
                <c:pt idx="6">
                  <c:v>6.600499971594137E-2</c:v>
                </c:pt>
                <c:pt idx="7">
                  <c:v>6.600499971594137E-2</c:v>
                </c:pt>
                <c:pt idx="8">
                  <c:v>6.600499971594137E-2</c:v>
                </c:pt>
                <c:pt idx="9">
                  <c:v>6.600499971594137E-2</c:v>
                </c:pt>
                <c:pt idx="10">
                  <c:v>6.600499971594137E-2</c:v>
                </c:pt>
                <c:pt idx="11">
                  <c:v>6.600499971594137E-2</c:v>
                </c:pt>
                <c:pt idx="12">
                  <c:v>6.600499971594137E-2</c:v>
                </c:pt>
                <c:pt idx="13">
                  <c:v>6.600499971594137E-2</c:v>
                </c:pt>
                <c:pt idx="14">
                  <c:v>6.600499971594137E-2</c:v>
                </c:pt>
                <c:pt idx="15">
                  <c:v>6.600499971594137E-2</c:v>
                </c:pt>
                <c:pt idx="16">
                  <c:v>6.600499971594137E-2</c:v>
                </c:pt>
                <c:pt idx="17">
                  <c:v>6.600499971594137E-2</c:v>
                </c:pt>
                <c:pt idx="18">
                  <c:v>6.600499971594137E-2</c:v>
                </c:pt>
                <c:pt idx="19">
                  <c:v>6.600499971594137E-2</c:v>
                </c:pt>
                <c:pt idx="20">
                  <c:v>6.600499971594137E-2</c:v>
                </c:pt>
                <c:pt idx="21">
                  <c:v>6.600499971594137E-2</c:v>
                </c:pt>
                <c:pt idx="22">
                  <c:v>6.600499971594137E-2</c:v>
                </c:pt>
                <c:pt idx="23">
                  <c:v>6.600499971594137E-2</c:v>
                </c:pt>
                <c:pt idx="24">
                  <c:v>6.600499971594137E-2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77-4614-A9BA-0D5E222E642E}"/>
            </c:ext>
          </c:extLst>
        </c:ser>
        <c:ser>
          <c:idx val="3"/>
          <c:order val="3"/>
          <c:tx>
            <c:strRef>
              <c:f>'GRÁFICO P'!$I$8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P'!$I$9:$I$33</c:f>
              <c:numCache>
                <c:formatCode>0.0000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77-4614-A9BA-0D5E222E6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560560"/>
        <c:axId val="1687561104"/>
      </c:lineChart>
      <c:catAx>
        <c:axId val="1687560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1104"/>
        <c:crosses val="autoZero"/>
        <c:auto val="1"/>
        <c:lblAlgn val="ctr"/>
        <c:lblOffset val="100"/>
        <c:noMultiLvlLbl val="0"/>
      </c:catAx>
      <c:valAx>
        <c:axId val="168756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PROPORCIÓN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 DE PROPROCIÓN APROXIMADO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3211387631453461"/>
          <c:y val="0.16939429590309532"/>
          <c:w val="0.83935395225803866"/>
          <c:h val="0.52845484781355045"/>
        </c:manualLayout>
      </c:layout>
      <c:lineChart>
        <c:grouping val="standard"/>
        <c:varyColors val="0"/>
        <c:ser>
          <c:idx val="0"/>
          <c:order val="0"/>
          <c:tx>
            <c:strRef>
              <c:f>'GRÁFICO P (N CAMBIANTE)'!$M$8</c:f>
              <c:strCache>
                <c:ptCount val="1"/>
                <c:pt idx="0">
                  <c:v>FRACCIÓN DE UNIDADES DEFECTUOSAS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P (N CAMBIANTE)'!$M$9:$M$28</c:f>
              <c:numCache>
                <c:formatCode>0.0000</c:formatCode>
                <c:ptCount val="20"/>
                <c:pt idx="0">
                  <c:v>0.11483253588516747</c:v>
                </c:pt>
                <c:pt idx="1">
                  <c:v>0.1103448275862069</c:v>
                </c:pt>
                <c:pt idx="2">
                  <c:v>0.04</c:v>
                </c:pt>
                <c:pt idx="3">
                  <c:v>0.11564625850340136</c:v>
                </c:pt>
                <c:pt idx="4">
                  <c:v>1.4492753623188406E-2</c:v>
                </c:pt>
                <c:pt idx="5">
                  <c:v>0.12444444444444444</c:v>
                </c:pt>
                <c:pt idx="6">
                  <c:v>0.19148936170212766</c:v>
                </c:pt>
                <c:pt idx="7">
                  <c:v>0.24637681159420291</c:v>
                </c:pt>
                <c:pt idx="8">
                  <c:v>0.26771653543307089</c:v>
                </c:pt>
                <c:pt idx="9">
                  <c:v>3.3898305084745763E-2</c:v>
                </c:pt>
                <c:pt idx="10">
                  <c:v>0.17</c:v>
                </c:pt>
                <c:pt idx="11">
                  <c:v>0.32038834951456313</c:v>
                </c:pt>
                <c:pt idx="12">
                  <c:v>0.13223140495867769</c:v>
                </c:pt>
                <c:pt idx="13">
                  <c:v>0.14499999999999999</c:v>
                </c:pt>
                <c:pt idx="14">
                  <c:v>0.18584070796460178</c:v>
                </c:pt>
                <c:pt idx="15">
                  <c:v>0.06</c:v>
                </c:pt>
                <c:pt idx="16">
                  <c:v>0.25174825174825177</c:v>
                </c:pt>
                <c:pt idx="17">
                  <c:v>0.32692307692307693</c:v>
                </c:pt>
                <c:pt idx="18">
                  <c:v>0.16037735849056603</c:v>
                </c:pt>
                <c:pt idx="19">
                  <c:v>5.0420168067226892E-2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9F-46DD-BD91-1127C5DF7830}"/>
            </c:ext>
          </c:extLst>
        </c:ser>
        <c:ser>
          <c:idx val="1"/>
          <c:order val="1"/>
          <c:tx>
            <c:strRef>
              <c:f>'GRÁFICO P (N CAMBIANTE)'!$N$8</c:f>
              <c:strCache>
                <c:ptCount val="1"/>
                <c:pt idx="0">
                  <c:v>LC(P)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P (N CAMBIANTE)'!$N$9:$N$28</c:f>
              <c:numCache>
                <c:formatCode>0.0000</c:formatCode>
                <c:ptCount val="20"/>
                <c:pt idx="0">
                  <c:v>0.14327772325809618</c:v>
                </c:pt>
                <c:pt idx="1">
                  <c:v>0.14327772325809618</c:v>
                </c:pt>
                <c:pt idx="2">
                  <c:v>0.14327772325809618</c:v>
                </c:pt>
                <c:pt idx="3">
                  <c:v>0.14327772325809618</c:v>
                </c:pt>
                <c:pt idx="4">
                  <c:v>0.14327772325809618</c:v>
                </c:pt>
                <c:pt idx="5">
                  <c:v>0.14327772325809618</c:v>
                </c:pt>
                <c:pt idx="6">
                  <c:v>0.14327772325809618</c:v>
                </c:pt>
                <c:pt idx="7">
                  <c:v>0.14327772325809618</c:v>
                </c:pt>
                <c:pt idx="8">
                  <c:v>0.14327772325809618</c:v>
                </c:pt>
                <c:pt idx="9">
                  <c:v>0.14327772325809618</c:v>
                </c:pt>
                <c:pt idx="10">
                  <c:v>0.14327772325809618</c:v>
                </c:pt>
                <c:pt idx="11">
                  <c:v>0.14327772325809618</c:v>
                </c:pt>
                <c:pt idx="12">
                  <c:v>0.14327772325809618</c:v>
                </c:pt>
                <c:pt idx="13">
                  <c:v>0.14327772325809618</c:v>
                </c:pt>
                <c:pt idx="14">
                  <c:v>0.14327772325809618</c:v>
                </c:pt>
                <c:pt idx="15">
                  <c:v>0.14327772325809618</c:v>
                </c:pt>
                <c:pt idx="16">
                  <c:v>0.14327772325809618</c:v>
                </c:pt>
                <c:pt idx="17">
                  <c:v>0.14327772325809618</c:v>
                </c:pt>
                <c:pt idx="18">
                  <c:v>0.14327772325809618</c:v>
                </c:pt>
                <c:pt idx="19">
                  <c:v>0.14327772325809618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9F-46DD-BD91-1127C5DF7830}"/>
            </c:ext>
          </c:extLst>
        </c:ser>
        <c:ser>
          <c:idx val="2"/>
          <c:order val="2"/>
          <c:tx>
            <c:strRef>
              <c:f>'GRÁFICO P (N CAMBIANTE)'!$O$8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P (N CAMBIANTE)'!$O$9:$O$28</c:f>
              <c:numCache>
                <c:formatCode>0.0000</c:formatCode>
                <c:ptCount val="20"/>
                <c:pt idx="0">
                  <c:v>0.234446645144926</c:v>
                </c:pt>
                <c:pt idx="1">
                  <c:v>0.234446645144926</c:v>
                </c:pt>
                <c:pt idx="2">
                  <c:v>0.234446645144926</c:v>
                </c:pt>
                <c:pt idx="3">
                  <c:v>0.234446645144926</c:v>
                </c:pt>
                <c:pt idx="4">
                  <c:v>0.234446645144926</c:v>
                </c:pt>
                <c:pt idx="5">
                  <c:v>0.234446645144926</c:v>
                </c:pt>
                <c:pt idx="6">
                  <c:v>0.234446645144926</c:v>
                </c:pt>
                <c:pt idx="7">
                  <c:v>0.234446645144926</c:v>
                </c:pt>
                <c:pt idx="8">
                  <c:v>0.234446645144926</c:v>
                </c:pt>
                <c:pt idx="9">
                  <c:v>0.234446645144926</c:v>
                </c:pt>
                <c:pt idx="10">
                  <c:v>0.234446645144926</c:v>
                </c:pt>
                <c:pt idx="11">
                  <c:v>0.234446645144926</c:v>
                </c:pt>
                <c:pt idx="12">
                  <c:v>0.234446645144926</c:v>
                </c:pt>
                <c:pt idx="13">
                  <c:v>0.234446645144926</c:v>
                </c:pt>
                <c:pt idx="14">
                  <c:v>0.234446645144926</c:v>
                </c:pt>
                <c:pt idx="15">
                  <c:v>0.234446645144926</c:v>
                </c:pt>
                <c:pt idx="16">
                  <c:v>0.234446645144926</c:v>
                </c:pt>
                <c:pt idx="17">
                  <c:v>0.234446645144926</c:v>
                </c:pt>
                <c:pt idx="18">
                  <c:v>0.234446645144926</c:v>
                </c:pt>
                <c:pt idx="19">
                  <c:v>0.234446645144926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9F-46DD-BD91-1127C5DF7830}"/>
            </c:ext>
          </c:extLst>
        </c:ser>
        <c:ser>
          <c:idx val="3"/>
          <c:order val="3"/>
          <c:tx>
            <c:strRef>
              <c:f>'GRÁFICO P (N CAMBIANTE)'!$P$8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P (N CAMBIANTE)'!$P$9:$P$28</c:f>
              <c:numCache>
                <c:formatCode>0.0000</c:formatCode>
                <c:ptCount val="20"/>
                <c:pt idx="0">
                  <c:v>5.2108801371266361E-2</c:v>
                </c:pt>
                <c:pt idx="1">
                  <c:v>5.2108801371266361E-2</c:v>
                </c:pt>
                <c:pt idx="2">
                  <c:v>5.2108801371266361E-2</c:v>
                </c:pt>
                <c:pt idx="3">
                  <c:v>5.2108801371266361E-2</c:v>
                </c:pt>
                <c:pt idx="4">
                  <c:v>5.2108801371266361E-2</c:v>
                </c:pt>
                <c:pt idx="5">
                  <c:v>5.2108801371266361E-2</c:v>
                </c:pt>
                <c:pt idx="6">
                  <c:v>5.2108801371266361E-2</c:v>
                </c:pt>
                <c:pt idx="7">
                  <c:v>5.2108801371266361E-2</c:v>
                </c:pt>
                <c:pt idx="8">
                  <c:v>5.2108801371266361E-2</c:v>
                </c:pt>
                <c:pt idx="9">
                  <c:v>5.2108801371266361E-2</c:v>
                </c:pt>
                <c:pt idx="10">
                  <c:v>5.2108801371266361E-2</c:v>
                </c:pt>
                <c:pt idx="11">
                  <c:v>5.2108801371266361E-2</c:v>
                </c:pt>
                <c:pt idx="12">
                  <c:v>5.2108801371266361E-2</c:v>
                </c:pt>
                <c:pt idx="13">
                  <c:v>5.2108801371266361E-2</c:v>
                </c:pt>
                <c:pt idx="14">
                  <c:v>5.2108801371266361E-2</c:v>
                </c:pt>
                <c:pt idx="15">
                  <c:v>5.2108801371266361E-2</c:v>
                </c:pt>
                <c:pt idx="16">
                  <c:v>5.2108801371266361E-2</c:v>
                </c:pt>
                <c:pt idx="17">
                  <c:v>5.2108801371266361E-2</c:v>
                </c:pt>
                <c:pt idx="18">
                  <c:v>5.2108801371266361E-2</c:v>
                </c:pt>
                <c:pt idx="19">
                  <c:v>5.2108801371266361E-2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9F-46DD-BD91-1127C5DF7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569264"/>
        <c:axId val="1687566544"/>
      </c:lineChart>
      <c:catAx>
        <c:axId val="1687569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6544"/>
        <c:crosses val="autoZero"/>
        <c:auto val="1"/>
        <c:lblAlgn val="ctr"/>
        <c:lblOffset val="100"/>
        <c:noMultiLvlLbl val="0"/>
      </c:catAx>
      <c:valAx>
        <c:axId val="168756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PROPORCIÓN APROXIMADO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9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</a:t>
            </a:r>
            <a:r>
              <a:rPr lang="es-SV" b="1" baseline="0"/>
              <a:t> DE PROPORCIÓN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6978937007874015"/>
          <c:y val="0.16245370370370371"/>
          <c:w val="0.79965507436570427"/>
          <c:h val="0.51681284631087776"/>
        </c:manualLayout>
      </c:layout>
      <c:lineChart>
        <c:grouping val="standard"/>
        <c:varyColors val="0"/>
        <c:ser>
          <c:idx val="0"/>
          <c:order val="0"/>
          <c:tx>
            <c:strRef>
              <c:f>'GRÁFICO P (N CAMBIANTE)'!$F$8</c:f>
              <c:strCache>
                <c:ptCount val="1"/>
                <c:pt idx="0">
                  <c:v>FRACCIÓN DE UNIDADES DEFECTUOSAS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P (N CAMBIANTE)'!$F$9:$F$31</c:f>
              <c:numCache>
                <c:formatCode>General</c:formatCode>
                <c:ptCount val="23"/>
                <c:pt idx="0">
                  <c:v>0.11483253588516747</c:v>
                </c:pt>
                <c:pt idx="1">
                  <c:v>0.1103448275862069</c:v>
                </c:pt>
                <c:pt idx="2">
                  <c:v>0.04</c:v>
                </c:pt>
                <c:pt idx="3">
                  <c:v>0.11564625850340136</c:v>
                </c:pt>
                <c:pt idx="4">
                  <c:v>1.4492753623188406E-2</c:v>
                </c:pt>
                <c:pt idx="5">
                  <c:v>0.12444444444444444</c:v>
                </c:pt>
                <c:pt idx="6">
                  <c:v>0.19148936170212766</c:v>
                </c:pt>
                <c:pt idx="7">
                  <c:v>0.24637681159420291</c:v>
                </c:pt>
                <c:pt idx="8">
                  <c:v>0.26771653543307089</c:v>
                </c:pt>
                <c:pt idx="9">
                  <c:v>3.3898305084745763E-2</c:v>
                </c:pt>
                <c:pt idx="10">
                  <c:v>0.17</c:v>
                </c:pt>
                <c:pt idx="11">
                  <c:v>0.32038834951456313</c:v>
                </c:pt>
                <c:pt idx="12">
                  <c:v>0.13223140495867769</c:v>
                </c:pt>
                <c:pt idx="13">
                  <c:v>0.14499999999999999</c:v>
                </c:pt>
                <c:pt idx="14">
                  <c:v>0.18584070796460178</c:v>
                </c:pt>
                <c:pt idx="15">
                  <c:v>0.06</c:v>
                </c:pt>
                <c:pt idx="16">
                  <c:v>0.25174825174825177</c:v>
                </c:pt>
                <c:pt idx="17">
                  <c:v>0.32692307692307693</c:v>
                </c:pt>
                <c:pt idx="18">
                  <c:v>0.16037735849056603</c:v>
                </c:pt>
                <c:pt idx="19">
                  <c:v>5.0420168067226892E-2</c:v>
                </c:pt>
                <c:pt idx="20">
                  <c:v>0.14678899082568808</c:v>
                </c:pt>
                <c:pt idx="21">
                  <c:v>0.11538461538461539</c:v>
                </c:pt>
                <c:pt idx="22">
                  <c:v>3.4013605442176874E-2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55-46EA-ADE2-BA8ADBB67DE7}"/>
            </c:ext>
          </c:extLst>
        </c:ser>
        <c:ser>
          <c:idx val="1"/>
          <c:order val="1"/>
          <c:tx>
            <c:strRef>
              <c:f>'GRÁFICO P (N CAMBIANTE)'!$G$8</c:f>
              <c:strCache>
                <c:ptCount val="1"/>
                <c:pt idx="0">
                  <c:v>LC(P)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P (N CAMBIANTE)'!$G$9:$G$31</c:f>
              <c:numCache>
                <c:formatCode>0.0000</c:formatCode>
                <c:ptCount val="23"/>
                <c:pt idx="0">
                  <c:v>0.14327772325809618</c:v>
                </c:pt>
                <c:pt idx="1">
                  <c:v>0.14327772325809618</c:v>
                </c:pt>
                <c:pt idx="2">
                  <c:v>0.14327772325809618</c:v>
                </c:pt>
                <c:pt idx="3">
                  <c:v>0.14327772325809618</c:v>
                </c:pt>
                <c:pt idx="4">
                  <c:v>0.14327772325809618</c:v>
                </c:pt>
                <c:pt idx="5">
                  <c:v>0.14327772325809618</c:v>
                </c:pt>
                <c:pt idx="6">
                  <c:v>0.14327772325809618</c:v>
                </c:pt>
                <c:pt idx="7">
                  <c:v>0.14327772325809618</c:v>
                </c:pt>
                <c:pt idx="8">
                  <c:v>0.14327772325809618</c:v>
                </c:pt>
                <c:pt idx="9">
                  <c:v>0.14327772325809618</c:v>
                </c:pt>
                <c:pt idx="10">
                  <c:v>0.14327772325809618</c:v>
                </c:pt>
                <c:pt idx="11">
                  <c:v>0.14327772325809618</c:v>
                </c:pt>
                <c:pt idx="12">
                  <c:v>0.14327772325809618</c:v>
                </c:pt>
                <c:pt idx="13">
                  <c:v>0.14327772325809618</c:v>
                </c:pt>
                <c:pt idx="14">
                  <c:v>0.14327772325809618</c:v>
                </c:pt>
                <c:pt idx="15">
                  <c:v>0.14327772325809618</c:v>
                </c:pt>
                <c:pt idx="16">
                  <c:v>0.14327772325809618</c:v>
                </c:pt>
                <c:pt idx="17">
                  <c:v>0.14327772325809618</c:v>
                </c:pt>
                <c:pt idx="18">
                  <c:v>0.14327772325809618</c:v>
                </c:pt>
                <c:pt idx="19">
                  <c:v>0.14327772325809618</c:v>
                </c:pt>
                <c:pt idx="20">
                  <c:v>0.14327772325809618</c:v>
                </c:pt>
                <c:pt idx="21">
                  <c:v>0.14327772325809618</c:v>
                </c:pt>
                <c:pt idx="22">
                  <c:v>0.14327772325809618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55-46EA-ADE2-BA8ADBB67DE7}"/>
            </c:ext>
          </c:extLst>
        </c:ser>
        <c:ser>
          <c:idx val="2"/>
          <c:order val="2"/>
          <c:tx>
            <c:strRef>
              <c:f>'GRÁFICO P (N CAMBIANTE)'!$H$8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P (N CAMBIANTE)'!$H$9:$H$31</c:f>
              <c:numCache>
                <c:formatCode>0.0000</c:formatCode>
                <c:ptCount val="23"/>
                <c:pt idx="0">
                  <c:v>0.21598158465244757</c:v>
                </c:pt>
                <c:pt idx="1">
                  <c:v>0.23056413075878851</c:v>
                </c:pt>
                <c:pt idx="2">
                  <c:v>0.24838447639435537</c:v>
                </c:pt>
                <c:pt idx="3">
                  <c:v>0.22996831213933444</c:v>
                </c:pt>
                <c:pt idx="4">
                  <c:v>0.2327505332921844</c:v>
                </c:pt>
                <c:pt idx="5">
                  <c:v>0.21334889201560231</c:v>
                </c:pt>
                <c:pt idx="6">
                  <c:v>0.23179357732886124</c:v>
                </c:pt>
                <c:pt idx="7">
                  <c:v>0.2327505332921844</c:v>
                </c:pt>
                <c:pt idx="8">
                  <c:v>0.23654488483714831</c:v>
                </c:pt>
                <c:pt idx="9">
                  <c:v>0.2400363323650414</c:v>
                </c:pt>
                <c:pt idx="10">
                  <c:v>0.24838447639435537</c:v>
                </c:pt>
                <c:pt idx="11">
                  <c:v>0.24684248445603901</c:v>
                </c:pt>
                <c:pt idx="12">
                  <c:v>0.23882931701833182</c:v>
                </c:pt>
                <c:pt idx="13">
                  <c:v>0.21759942114924546</c:v>
                </c:pt>
                <c:pt idx="14">
                  <c:v>0.24215383934141832</c:v>
                </c:pt>
                <c:pt idx="15">
                  <c:v>0.24838447639435537</c:v>
                </c:pt>
                <c:pt idx="16">
                  <c:v>0.23117240576608067</c:v>
                </c:pt>
                <c:pt idx="17">
                  <c:v>0.24634337426812797</c:v>
                </c:pt>
                <c:pt idx="18">
                  <c:v>0.24536642661761979</c:v>
                </c:pt>
                <c:pt idx="19">
                  <c:v>0.23962892588562024</c:v>
                </c:pt>
                <c:pt idx="20">
                  <c:v>0.24395173416625593</c:v>
                </c:pt>
                <c:pt idx="21">
                  <c:v>0.24634337426812797</c:v>
                </c:pt>
                <c:pt idx="22">
                  <c:v>0.22996831213933444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55-46EA-ADE2-BA8ADBB67DE7}"/>
            </c:ext>
          </c:extLst>
        </c:ser>
        <c:ser>
          <c:idx val="3"/>
          <c:order val="3"/>
          <c:tx>
            <c:strRef>
              <c:f>'GRÁFICO P (N CAMBIANTE)'!$I$8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P (N CAMBIANTE)'!$I$9:$I$31</c:f>
              <c:numCache>
                <c:formatCode>0.0000</c:formatCode>
                <c:ptCount val="23"/>
                <c:pt idx="0">
                  <c:v>7.0573861863744786E-2</c:v>
                </c:pt>
                <c:pt idx="1">
                  <c:v>5.5991315757403848E-2</c:v>
                </c:pt>
                <c:pt idx="2">
                  <c:v>3.8170970121836983E-2</c:v>
                </c:pt>
                <c:pt idx="3">
                  <c:v>5.6587134376857917E-2</c:v>
                </c:pt>
                <c:pt idx="4">
                  <c:v>5.3804913224007961E-2</c:v>
                </c:pt>
                <c:pt idx="5">
                  <c:v>7.3206554500590049E-2</c:v>
                </c:pt>
                <c:pt idx="6">
                  <c:v>5.4761869187331128E-2</c:v>
                </c:pt>
                <c:pt idx="7">
                  <c:v>5.3804913224007961E-2</c:v>
                </c:pt>
                <c:pt idx="8">
                  <c:v>5.0010561679044052E-2</c:v>
                </c:pt>
                <c:pt idx="9">
                  <c:v>4.6519114151150967E-2</c:v>
                </c:pt>
                <c:pt idx="10">
                  <c:v>3.8170970121836983E-2</c:v>
                </c:pt>
                <c:pt idx="11">
                  <c:v>3.9712962060153345E-2</c:v>
                </c:pt>
                <c:pt idx="12">
                  <c:v>4.772612949786055E-2</c:v>
                </c:pt>
                <c:pt idx="13">
                  <c:v>6.895602536694688E-2</c:v>
                </c:pt>
                <c:pt idx="14">
                  <c:v>4.4401607174774038E-2</c:v>
                </c:pt>
                <c:pt idx="15">
                  <c:v>3.8170970121836983E-2</c:v>
                </c:pt>
                <c:pt idx="16">
                  <c:v>5.5383040750111689E-2</c:v>
                </c:pt>
                <c:pt idx="17">
                  <c:v>4.021207224806439E-2</c:v>
                </c:pt>
                <c:pt idx="18">
                  <c:v>4.1189019898572571E-2</c:v>
                </c:pt>
                <c:pt idx="19">
                  <c:v>4.6926520630572122E-2</c:v>
                </c:pt>
                <c:pt idx="20">
                  <c:v>4.2603712349936415E-2</c:v>
                </c:pt>
                <c:pt idx="21">
                  <c:v>4.021207224806439E-2</c:v>
                </c:pt>
                <c:pt idx="22">
                  <c:v>5.6587134376857917E-2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55-46EA-ADE2-BA8ADBB67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558384"/>
        <c:axId val="1687556208"/>
      </c:lineChart>
      <c:catAx>
        <c:axId val="1687558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56208"/>
        <c:crosses val="autoZero"/>
        <c:auto val="1"/>
        <c:lblAlgn val="ctr"/>
        <c:lblOffset val="100"/>
        <c:noMultiLvlLbl val="0"/>
      </c:catAx>
      <c:valAx>
        <c:axId val="168755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FRACCIONES DE NO CONFORMES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58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 DE PROPROCIÓN APROXIMADO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3211387631453461"/>
          <c:y val="0.16939429590309532"/>
          <c:w val="0.83935395225803866"/>
          <c:h val="0.52845484781355045"/>
        </c:manualLayout>
      </c:layout>
      <c:lineChart>
        <c:grouping val="standard"/>
        <c:varyColors val="0"/>
        <c:ser>
          <c:idx val="0"/>
          <c:order val="0"/>
          <c:tx>
            <c:strRef>
              <c:f>'GRÁFICO NP'!$L$7</c:f>
              <c:strCache>
                <c:ptCount val="1"/>
                <c:pt idx="0">
                  <c:v>FRACCIÓN DE UNIDADES DEFECTUOSAS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NP'!$L$8:$L$32</c:f>
              <c:numCache>
                <c:formatCode>0.000</c:formatCode>
                <c:ptCount val="25"/>
                <c:pt idx="0">
                  <c:v>0.03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  <c:pt idx="4">
                  <c:v>0.02</c:v>
                </c:pt>
                <c:pt idx="5">
                  <c:v>0.05</c:v>
                </c:pt>
                <c:pt idx="6">
                  <c:v>0.03</c:v>
                </c:pt>
                <c:pt idx="7">
                  <c:v>0.06</c:v>
                </c:pt>
                <c:pt idx="8">
                  <c:v>0.01</c:v>
                </c:pt>
                <c:pt idx="9">
                  <c:v>0.04</c:v>
                </c:pt>
                <c:pt idx="10">
                  <c:v>0</c:v>
                </c:pt>
                <c:pt idx="11">
                  <c:v>0.02</c:v>
                </c:pt>
                <c:pt idx="12">
                  <c:v>0.01</c:v>
                </c:pt>
                <c:pt idx="13">
                  <c:v>0.03</c:v>
                </c:pt>
                <c:pt idx="14">
                  <c:v>0.04</c:v>
                </c:pt>
                <c:pt idx="15">
                  <c:v>0.01</c:v>
                </c:pt>
                <c:pt idx="16">
                  <c:v>0.01</c:v>
                </c:pt>
                <c:pt idx="17">
                  <c:v>0.02</c:v>
                </c:pt>
                <c:pt idx="18">
                  <c:v>0.05</c:v>
                </c:pt>
                <c:pt idx="19">
                  <c:v>0.02</c:v>
                </c:pt>
                <c:pt idx="20">
                  <c:v>0.03</c:v>
                </c:pt>
                <c:pt idx="21">
                  <c:v>0.04</c:v>
                </c:pt>
                <c:pt idx="22">
                  <c:v>0.01</c:v>
                </c:pt>
                <c:pt idx="23">
                  <c:v>0</c:v>
                </c:pt>
                <c:pt idx="2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DB-48F6-B8E9-3FDCBDBFDFC4}"/>
            </c:ext>
          </c:extLst>
        </c:ser>
        <c:ser>
          <c:idx val="1"/>
          <c:order val="1"/>
          <c:tx>
            <c:strRef>
              <c:f>'GRÁFICO NP'!$M$7</c:f>
              <c:strCache>
                <c:ptCount val="1"/>
                <c:pt idx="0">
                  <c:v>LC(P)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'GRÁFICO NP'!$M$8:$M$32</c:f>
              <c:numCache>
                <c:formatCode>0.000</c:formatCode>
                <c:ptCount val="25"/>
                <c:pt idx="0">
                  <c:v>2.2000000000000002E-2</c:v>
                </c:pt>
                <c:pt idx="1">
                  <c:v>2.2000000000000002E-2</c:v>
                </c:pt>
                <c:pt idx="2">
                  <c:v>2.2000000000000002E-2</c:v>
                </c:pt>
                <c:pt idx="3">
                  <c:v>2.2000000000000002E-2</c:v>
                </c:pt>
                <c:pt idx="4">
                  <c:v>2.2000000000000002E-2</c:v>
                </c:pt>
                <c:pt idx="5">
                  <c:v>2.2000000000000002E-2</c:v>
                </c:pt>
                <c:pt idx="6">
                  <c:v>2.2000000000000002E-2</c:v>
                </c:pt>
                <c:pt idx="7">
                  <c:v>2.2000000000000002E-2</c:v>
                </c:pt>
                <c:pt idx="8">
                  <c:v>2.2000000000000002E-2</c:v>
                </c:pt>
                <c:pt idx="9">
                  <c:v>2.2000000000000002E-2</c:v>
                </c:pt>
                <c:pt idx="10">
                  <c:v>2.2000000000000002E-2</c:v>
                </c:pt>
                <c:pt idx="11">
                  <c:v>2.2000000000000002E-2</c:v>
                </c:pt>
                <c:pt idx="12">
                  <c:v>2.2000000000000002E-2</c:v>
                </c:pt>
                <c:pt idx="13">
                  <c:v>2.2000000000000002E-2</c:v>
                </c:pt>
                <c:pt idx="14">
                  <c:v>2.2000000000000002E-2</c:v>
                </c:pt>
                <c:pt idx="15">
                  <c:v>2.2000000000000002E-2</c:v>
                </c:pt>
                <c:pt idx="16">
                  <c:v>2.2000000000000002E-2</c:v>
                </c:pt>
                <c:pt idx="17">
                  <c:v>2.2000000000000002E-2</c:v>
                </c:pt>
                <c:pt idx="18">
                  <c:v>2.2000000000000002E-2</c:v>
                </c:pt>
                <c:pt idx="19">
                  <c:v>2.2000000000000002E-2</c:v>
                </c:pt>
                <c:pt idx="20">
                  <c:v>2.2000000000000002E-2</c:v>
                </c:pt>
                <c:pt idx="21">
                  <c:v>2.2000000000000002E-2</c:v>
                </c:pt>
                <c:pt idx="22">
                  <c:v>2.2000000000000002E-2</c:v>
                </c:pt>
                <c:pt idx="23">
                  <c:v>2.2000000000000002E-2</c:v>
                </c:pt>
                <c:pt idx="24">
                  <c:v>2.2000000000000002E-2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DB-48F6-B8E9-3FDCBDBFDFC4}"/>
            </c:ext>
          </c:extLst>
        </c:ser>
        <c:ser>
          <c:idx val="2"/>
          <c:order val="2"/>
          <c:tx>
            <c:strRef>
              <c:f>'GRÁFICO NP'!$N$7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NP'!$N$8:$N$32</c:f>
              <c:numCache>
                <c:formatCode>0.0000</c:formatCode>
                <c:ptCount val="25"/>
                <c:pt idx="0">
                  <c:v>6.600499971594137E-2</c:v>
                </c:pt>
                <c:pt idx="1">
                  <c:v>6.600499971594137E-2</c:v>
                </c:pt>
                <c:pt idx="2">
                  <c:v>6.600499971594137E-2</c:v>
                </c:pt>
                <c:pt idx="3">
                  <c:v>6.600499971594137E-2</c:v>
                </c:pt>
                <c:pt idx="4">
                  <c:v>6.600499971594137E-2</c:v>
                </c:pt>
                <c:pt idx="5">
                  <c:v>6.600499971594137E-2</c:v>
                </c:pt>
                <c:pt idx="6">
                  <c:v>6.600499971594137E-2</c:v>
                </c:pt>
                <c:pt idx="7">
                  <c:v>6.600499971594137E-2</c:v>
                </c:pt>
                <c:pt idx="8">
                  <c:v>6.600499971594137E-2</c:v>
                </c:pt>
                <c:pt idx="9">
                  <c:v>6.600499971594137E-2</c:v>
                </c:pt>
                <c:pt idx="10">
                  <c:v>6.600499971594137E-2</c:v>
                </c:pt>
                <c:pt idx="11">
                  <c:v>6.600499971594137E-2</c:v>
                </c:pt>
                <c:pt idx="12">
                  <c:v>6.600499971594137E-2</c:v>
                </c:pt>
                <c:pt idx="13">
                  <c:v>6.600499971594137E-2</c:v>
                </c:pt>
                <c:pt idx="14">
                  <c:v>6.600499971594137E-2</c:v>
                </c:pt>
                <c:pt idx="15">
                  <c:v>6.600499971594137E-2</c:v>
                </c:pt>
                <c:pt idx="16">
                  <c:v>6.600499971594137E-2</c:v>
                </c:pt>
                <c:pt idx="17">
                  <c:v>6.600499971594137E-2</c:v>
                </c:pt>
                <c:pt idx="18">
                  <c:v>6.600499971594137E-2</c:v>
                </c:pt>
                <c:pt idx="19">
                  <c:v>6.600499971594137E-2</c:v>
                </c:pt>
                <c:pt idx="20">
                  <c:v>6.600499971594137E-2</c:v>
                </c:pt>
                <c:pt idx="21">
                  <c:v>6.600499971594137E-2</c:v>
                </c:pt>
                <c:pt idx="22">
                  <c:v>6.600499971594137E-2</c:v>
                </c:pt>
                <c:pt idx="23">
                  <c:v>6.600499971594137E-2</c:v>
                </c:pt>
                <c:pt idx="24">
                  <c:v>6.600499971594137E-2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DB-48F6-B8E9-3FDCBDBFDFC4}"/>
            </c:ext>
          </c:extLst>
        </c:ser>
        <c:ser>
          <c:idx val="3"/>
          <c:order val="3"/>
          <c:tx>
            <c:strRef>
              <c:f>'GRÁFICO NP'!$O$7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NP'!$O$8:$O$32</c:f>
              <c:numCache>
                <c:formatCode>0.0000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DB-48F6-B8E9-3FDCBDBFD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565456"/>
        <c:axId val="1687562736"/>
      </c:lineChart>
      <c:catAx>
        <c:axId val="1687565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2736"/>
        <c:crosses val="autoZero"/>
        <c:auto val="1"/>
        <c:lblAlgn val="ctr"/>
        <c:lblOffset val="100"/>
        <c:noMultiLvlLbl val="0"/>
      </c:catAx>
      <c:valAx>
        <c:axId val="168756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PROPORCIÓN APROXIMADO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</a:t>
            </a:r>
            <a:r>
              <a:rPr lang="es-SV" b="1" baseline="0"/>
              <a:t> DE DEFECTUOSOS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6978937007874015"/>
          <c:y val="0.16245370370370371"/>
          <c:w val="0.79965507436570427"/>
          <c:h val="0.51681284631087776"/>
        </c:manualLayout>
      </c:layout>
      <c:lineChart>
        <c:grouping val="standard"/>
        <c:varyColors val="0"/>
        <c:ser>
          <c:idx val="0"/>
          <c:order val="0"/>
          <c:tx>
            <c:strRef>
              <c:f>'GRÁFICO NP'!$E$7</c:f>
              <c:strCache>
                <c:ptCount val="1"/>
                <c:pt idx="0">
                  <c:v>DEFECTUOSOS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NP'!$E$8:$E$32</c:f>
              <c:numCache>
                <c:formatCode>0</c:formatCode>
                <c:ptCount val="25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6</c:v>
                </c:pt>
                <c:pt idx="8">
                  <c:v>1</c:v>
                </c:pt>
                <c:pt idx="9">
                  <c:v>4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3</c:v>
                </c:pt>
                <c:pt idx="14">
                  <c:v>4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5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27-4034-ADC2-68E57EC809AD}"/>
            </c:ext>
          </c:extLst>
        </c:ser>
        <c:ser>
          <c:idx val="1"/>
          <c:order val="1"/>
          <c:tx>
            <c:strRef>
              <c:f>'GRÁFICO NP'!$F$7</c:f>
              <c:strCache>
                <c:ptCount val="1"/>
                <c:pt idx="0">
                  <c:v>LC(P)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NP'!$F$8:$F$32</c:f>
              <c:numCache>
                <c:formatCode>0.000</c:formatCode>
                <c:ptCount val="25"/>
                <c:pt idx="0">
                  <c:v>2.2000000000000002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2.2000000000000002</c:v>
                </c:pt>
                <c:pt idx="7">
                  <c:v>2.2000000000000002</c:v>
                </c:pt>
                <c:pt idx="8">
                  <c:v>2.2000000000000002</c:v>
                </c:pt>
                <c:pt idx="9">
                  <c:v>2.2000000000000002</c:v>
                </c:pt>
                <c:pt idx="10">
                  <c:v>2.2000000000000002</c:v>
                </c:pt>
                <c:pt idx="11">
                  <c:v>2.2000000000000002</c:v>
                </c:pt>
                <c:pt idx="12">
                  <c:v>2.2000000000000002</c:v>
                </c:pt>
                <c:pt idx="13">
                  <c:v>2.2000000000000002</c:v>
                </c:pt>
                <c:pt idx="14">
                  <c:v>2.2000000000000002</c:v>
                </c:pt>
                <c:pt idx="15">
                  <c:v>2.2000000000000002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2.2000000000000002</c:v>
                </c:pt>
                <c:pt idx="19">
                  <c:v>2.2000000000000002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2.2000000000000002</c:v>
                </c:pt>
                <c:pt idx="23">
                  <c:v>2.2000000000000002</c:v>
                </c:pt>
                <c:pt idx="24">
                  <c:v>2.2000000000000002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27-4034-ADC2-68E57EC809AD}"/>
            </c:ext>
          </c:extLst>
        </c:ser>
        <c:ser>
          <c:idx val="2"/>
          <c:order val="2"/>
          <c:tx>
            <c:strRef>
              <c:f>'GRÁFICO NP'!$G$7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NP'!$G$8:$G$32</c:f>
              <c:numCache>
                <c:formatCode>0.000</c:formatCode>
                <c:ptCount val="25"/>
                <c:pt idx="0">
                  <c:v>6.6004999715941377</c:v>
                </c:pt>
                <c:pt idx="1">
                  <c:v>6.6004999715941377</c:v>
                </c:pt>
                <c:pt idx="2">
                  <c:v>6.6004999715941377</c:v>
                </c:pt>
                <c:pt idx="3">
                  <c:v>6.6004999715941377</c:v>
                </c:pt>
                <c:pt idx="4">
                  <c:v>6.6004999715941377</c:v>
                </c:pt>
                <c:pt idx="5">
                  <c:v>6.6004999715941377</c:v>
                </c:pt>
                <c:pt idx="6">
                  <c:v>6.6004999715941377</c:v>
                </c:pt>
                <c:pt idx="7">
                  <c:v>6.6004999715941377</c:v>
                </c:pt>
                <c:pt idx="8">
                  <c:v>6.6004999715941377</c:v>
                </c:pt>
                <c:pt idx="9">
                  <c:v>6.6004999715941377</c:v>
                </c:pt>
                <c:pt idx="10">
                  <c:v>6.6004999715941377</c:v>
                </c:pt>
                <c:pt idx="11">
                  <c:v>6.6004999715941377</c:v>
                </c:pt>
                <c:pt idx="12">
                  <c:v>6.6004999715941377</c:v>
                </c:pt>
                <c:pt idx="13">
                  <c:v>6.6004999715941377</c:v>
                </c:pt>
                <c:pt idx="14">
                  <c:v>6.6004999715941377</c:v>
                </c:pt>
                <c:pt idx="15">
                  <c:v>6.6004999715941377</c:v>
                </c:pt>
                <c:pt idx="16">
                  <c:v>6.6004999715941377</c:v>
                </c:pt>
                <c:pt idx="17">
                  <c:v>6.6004999715941377</c:v>
                </c:pt>
                <c:pt idx="18">
                  <c:v>6.6004999715941377</c:v>
                </c:pt>
                <c:pt idx="19">
                  <c:v>6.6004999715941377</c:v>
                </c:pt>
                <c:pt idx="20">
                  <c:v>6.6004999715941377</c:v>
                </c:pt>
                <c:pt idx="21">
                  <c:v>6.6004999715941377</c:v>
                </c:pt>
                <c:pt idx="22">
                  <c:v>6.6004999715941377</c:v>
                </c:pt>
                <c:pt idx="23">
                  <c:v>6.6004999715941377</c:v>
                </c:pt>
                <c:pt idx="24">
                  <c:v>6.6004999715941377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27-4034-ADC2-68E57EC809AD}"/>
            </c:ext>
          </c:extLst>
        </c:ser>
        <c:ser>
          <c:idx val="3"/>
          <c:order val="3"/>
          <c:tx>
            <c:strRef>
              <c:f>'GRÁFICO NP'!$H$7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NP'!$H$8:$H$32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27-4034-ADC2-68E57EC80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568176"/>
        <c:axId val="1687563280"/>
      </c:lineChart>
      <c:catAx>
        <c:axId val="1687568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3280"/>
        <c:crosses val="autoZero"/>
        <c:auto val="1"/>
        <c:lblAlgn val="ctr"/>
        <c:lblOffset val="100"/>
        <c:noMultiLvlLbl val="0"/>
      </c:catAx>
      <c:valAx>
        <c:axId val="168756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DEFECTOS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</a:t>
            </a:r>
            <a:r>
              <a:rPr lang="es-SV" b="1" baseline="0"/>
              <a:t> DE DISCONFORMIDADES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6978937007874015"/>
          <c:y val="0.16245370370370371"/>
          <c:w val="0.79965507436570427"/>
          <c:h val="0.51681284631087776"/>
        </c:manualLayout>
      </c:layout>
      <c:lineChart>
        <c:grouping val="standard"/>
        <c:varyColors val="0"/>
        <c:ser>
          <c:idx val="0"/>
          <c:order val="0"/>
          <c:tx>
            <c:strRef>
              <c:f>'GRÁFICO C'!$B$7</c:f>
              <c:strCache>
                <c:ptCount val="1"/>
                <c:pt idx="0">
                  <c:v>N DE DEFECTOS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C'!$B$8:$B$32</c:f>
              <c:numCache>
                <c:formatCode>0</c:formatCode>
                <c:ptCount val="25"/>
                <c:pt idx="0">
                  <c:v>2</c:v>
                </c:pt>
                <c:pt idx="1">
                  <c:v>3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4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B9-4049-9BBF-A9C5C3F37F87}"/>
            </c:ext>
          </c:extLst>
        </c:ser>
        <c:ser>
          <c:idx val="1"/>
          <c:order val="1"/>
          <c:tx>
            <c:strRef>
              <c:f>'GRÁFICO C'!$C$7</c:f>
              <c:strCache>
                <c:ptCount val="1"/>
                <c:pt idx="0">
                  <c:v>LC(P)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C'!$C$8:$C$32</c:f>
              <c:numCache>
                <c:formatCode>0.000</c:formatCode>
                <c:ptCount val="25"/>
                <c:pt idx="0">
                  <c:v>1.88</c:v>
                </c:pt>
                <c:pt idx="1">
                  <c:v>1.88</c:v>
                </c:pt>
                <c:pt idx="2">
                  <c:v>1.88</c:v>
                </c:pt>
                <c:pt idx="3">
                  <c:v>1.88</c:v>
                </c:pt>
                <c:pt idx="4">
                  <c:v>1.88</c:v>
                </c:pt>
                <c:pt idx="5">
                  <c:v>1.88</c:v>
                </c:pt>
                <c:pt idx="6">
                  <c:v>1.88</c:v>
                </c:pt>
                <c:pt idx="7">
                  <c:v>1.88</c:v>
                </c:pt>
                <c:pt idx="8">
                  <c:v>1.88</c:v>
                </c:pt>
                <c:pt idx="9">
                  <c:v>1.88</c:v>
                </c:pt>
                <c:pt idx="10">
                  <c:v>1.88</c:v>
                </c:pt>
                <c:pt idx="11">
                  <c:v>1.88</c:v>
                </c:pt>
                <c:pt idx="12">
                  <c:v>1.88</c:v>
                </c:pt>
                <c:pt idx="13">
                  <c:v>1.88</c:v>
                </c:pt>
                <c:pt idx="14">
                  <c:v>1.88</c:v>
                </c:pt>
                <c:pt idx="15">
                  <c:v>1.88</c:v>
                </c:pt>
                <c:pt idx="16">
                  <c:v>1.88</c:v>
                </c:pt>
                <c:pt idx="17">
                  <c:v>1.88</c:v>
                </c:pt>
                <c:pt idx="18">
                  <c:v>1.88</c:v>
                </c:pt>
                <c:pt idx="19">
                  <c:v>1.88</c:v>
                </c:pt>
                <c:pt idx="20">
                  <c:v>1.88</c:v>
                </c:pt>
                <c:pt idx="21">
                  <c:v>1.88</c:v>
                </c:pt>
                <c:pt idx="22">
                  <c:v>1.88</c:v>
                </c:pt>
                <c:pt idx="23">
                  <c:v>1.88</c:v>
                </c:pt>
                <c:pt idx="24">
                  <c:v>1.88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B9-4049-9BBF-A9C5C3F37F87}"/>
            </c:ext>
          </c:extLst>
        </c:ser>
        <c:ser>
          <c:idx val="2"/>
          <c:order val="2"/>
          <c:tx>
            <c:strRef>
              <c:f>'GRÁFICO C'!$D$7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C'!$D$8:$D$32</c:f>
              <c:numCache>
                <c:formatCode>0.000</c:formatCode>
                <c:ptCount val="25"/>
                <c:pt idx="0">
                  <c:v>5.9933927602406269</c:v>
                </c:pt>
                <c:pt idx="1">
                  <c:v>5.9933927602406269</c:v>
                </c:pt>
                <c:pt idx="2">
                  <c:v>5.9933927602406269</c:v>
                </c:pt>
                <c:pt idx="3">
                  <c:v>5.9933927602406269</c:v>
                </c:pt>
                <c:pt idx="4">
                  <c:v>5.9933927602406269</c:v>
                </c:pt>
                <c:pt idx="5">
                  <c:v>5.9933927602406269</c:v>
                </c:pt>
                <c:pt idx="6">
                  <c:v>5.9933927602406269</c:v>
                </c:pt>
                <c:pt idx="7">
                  <c:v>5.9933927602406269</c:v>
                </c:pt>
                <c:pt idx="8">
                  <c:v>5.9933927602406269</c:v>
                </c:pt>
                <c:pt idx="9">
                  <c:v>5.9933927602406269</c:v>
                </c:pt>
                <c:pt idx="10">
                  <c:v>5.9933927602406269</c:v>
                </c:pt>
                <c:pt idx="11">
                  <c:v>5.9933927602406269</c:v>
                </c:pt>
                <c:pt idx="12">
                  <c:v>5.9933927602406269</c:v>
                </c:pt>
                <c:pt idx="13">
                  <c:v>5.9933927602406269</c:v>
                </c:pt>
                <c:pt idx="14">
                  <c:v>5.9933927602406269</c:v>
                </c:pt>
                <c:pt idx="15">
                  <c:v>5.9933927602406269</c:v>
                </c:pt>
                <c:pt idx="16">
                  <c:v>5.9933927602406269</c:v>
                </c:pt>
                <c:pt idx="17">
                  <c:v>5.9933927602406269</c:v>
                </c:pt>
                <c:pt idx="18">
                  <c:v>5.9933927602406269</c:v>
                </c:pt>
                <c:pt idx="19">
                  <c:v>5.9933927602406269</c:v>
                </c:pt>
                <c:pt idx="20">
                  <c:v>5.9933927602406269</c:v>
                </c:pt>
                <c:pt idx="21">
                  <c:v>5.9933927602406269</c:v>
                </c:pt>
                <c:pt idx="22">
                  <c:v>5.9933927602406269</c:v>
                </c:pt>
                <c:pt idx="23">
                  <c:v>5.9933927602406269</c:v>
                </c:pt>
                <c:pt idx="24">
                  <c:v>5.9933927602406269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B9-4049-9BBF-A9C5C3F37F87}"/>
            </c:ext>
          </c:extLst>
        </c:ser>
        <c:ser>
          <c:idx val="3"/>
          <c:order val="3"/>
          <c:tx>
            <c:strRef>
              <c:f>'GRÁFICO C'!$E$7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'GRÁFICO C'!$E$8:$E$32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B9-4049-9BBF-A9C5C3F37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564368"/>
        <c:axId val="1687566000"/>
      </c:lineChart>
      <c:catAx>
        <c:axId val="1687564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6000"/>
        <c:crosses val="autoZero"/>
        <c:auto val="1"/>
        <c:lblAlgn val="ctr"/>
        <c:lblOffset val="100"/>
        <c:noMultiLvlLbl val="0"/>
      </c:catAx>
      <c:valAx>
        <c:axId val="168756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NÚMERO DE DEFECTOS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6978937007874015"/>
          <c:y val="0.16245370370370371"/>
          <c:w val="0.79965507436570427"/>
          <c:h val="0.51681284631087776"/>
        </c:manualLayout>
      </c:layout>
      <c:lineChart>
        <c:grouping val="standard"/>
        <c:varyColors val="0"/>
        <c:ser>
          <c:idx val="0"/>
          <c:order val="0"/>
          <c:tx>
            <c:strRef>
              <c:f>'GRÁFICO U'!$F$7</c:f>
              <c:strCache>
                <c:ptCount val="1"/>
                <c:pt idx="0">
                  <c:v>DEFECTOS POR UNIDAD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U'!$F$8:$F$37</c:f>
              <c:numCache>
                <c:formatCode>0.00000</c:formatCode>
                <c:ptCount val="30"/>
                <c:pt idx="0">
                  <c:v>8.6956521739130432E-2</c:v>
                </c:pt>
                <c:pt idx="1">
                  <c:v>0.21739130434782608</c:v>
                </c:pt>
                <c:pt idx="2">
                  <c:v>6.9767441860465115E-2</c:v>
                </c:pt>
                <c:pt idx="3">
                  <c:v>0.1368421052631579</c:v>
                </c:pt>
                <c:pt idx="4">
                  <c:v>4.065040650406504E-2</c:v>
                </c:pt>
                <c:pt idx="5">
                  <c:v>5.7471264367816091E-2</c:v>
                </c:pt>
                <c:pt idx="6">
                  <c:v>4.0540540540540543E-2</c:v>
                </c:pt>
                <c:pt idx="7">
                  <c:v>9.6385542168674704E-2</c:v>
                </c:pt>
                <c:pt idx="8">
                  <c:v>3.8834951456310676E-2</c:v>
                </c:pt>
                <c:pt idx="9">
                  <c:v>0.1</c:v>
                </c:pt>
                <c:pt idx="10">
                  <c:v>5.1470588235294115E-2</c:v>
                </c:pt>
                <c:pt idx="11">
                  <c:v>0.05</c:v>
                </c:pt>
                <c:pt idx="12">
                  <c:v>0.17142857142857143</c:v>
                </c:pt>
                <c:pt idx="13">
                  <c:v>0.15068493150684931</c:v>
                </c:pt>
                <c:pt idx="14">
                  <c:v>0.14606741573033707</c:v>
                </c:pt>
                <c:pt idx="15">
                  <c:v>4.6511627906976744E-2</c:v>
                </c:pt>
                <c:pt idx="16">
                  <c:v>7.6923076923076927E-2</c:v>
                </c:pt>
                <c:pt idx="17">
                  <c:v>3.4090909090909088E-2</c:v>
                </c:pt>
                <c:pt idx="18">
                  <c:v>0.10526315789473684</c:v>
                </c:pt>
                <c:pt idx="19">
                  <c:v>8.9108910891089105E-2</c:v>
                </c:pt>
                <c:pt idx="20">
                  <c:v>8.6956521739130432E-2</c:v>
                </c:pt>
                <c:pt idx="21">
                  <c:v>2.8571428571428571E-2</c:v>
                </c:pt>
                <c:pt idx="22">
                  <c:v>0.16666666666666666</c:v>
                </c:pt>
                <c:pt idx="23">
                  <c:v>6.0240963855421686E-2</c:v>
                </c:pt>
                <c:pt idx="24">
                  <c:v>7.8787878787878782E-2</c:v>
                </c:pt>
                <c:pt idx="25">
                  <c:v>3.6496350364963501E-2</c:v>
                </c:pt>
                <c:pt idx="26">
                  <c:v>0.10126582278481013</c:v>
                </c:pt>
                <c:pt idx="27">
                  <c:v>7.8947368421052627E-2</c:v>
                </c:pt>
                <c:pt idx="28">
                  <c:v>4.7619047619047616E-2</c:v>
                </c:pt>
                <c:pt idx="29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C7-435A-B34A-12F001ED40AB}"/>
            </c:ext>
          </c:extLst>
        </c:ser>
        <c:ser>
          <c:idx val="1"/>
          <c:order val="1"/>
          <c:tx>
            <c:strRef>
              <c:f>'GRÁFICO U'!$G$7</c:f>
              <c:strCache>
                <c:ptCount val="1"/>
                <c:pt idx="0">
                  <c:v>LC(U)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U'!$G$8:$G$37</c:f>
              <c:numCache>
                <c:formatCode>0.00000</c:formatCode>
                <c:ptCount val="30"/>
                <c:pt idx="0">
                  <c:v>7.8918918918918918E-2</c:v>
                </c:pt>
                <c:pt idx="1">
                  <c:v>7.8918918918918918E-2</c:v>
                </c:pt>
                <c:pt idx="2">
                  <c:v>7.8918918918918918E-2</c:v>
                </c:pt>
                <c:pt idx="3">
                  <c:v>7.8918918918918918E-2</c:v>
                </c:pt>
                <c:pt idx="4">
                  <c:v>7.8918918918918918E-2</c:v>
                </c:pt>
                <c:pt idx="5">
                  <c:v>7.8918918918918918E-2</c:v>
                </c:pt>
                <c:pt idx="6">
                  <c:v>7.8918918918918918E-2</c:v>
                </c:pt>
                <c:pt idx="7">
                  <c:v>7.8918918918918918E-2</c:v>
                </c:pt>
                <c:pt idx="8">
                  <c:v>7.8918918918918918E-2</c:v>
                </c:pt>
                <c:pt idx="9">
                  <c:v>7.8918918918918918E-2</c:v>
                </c:pt>
                <c:pt idx="10">
                  <c:v>7.8918918918918918E-2</c:v>
                </c:pt>
                <c:pt idx="11">
                  <c:v>7.8918918918918918E-2</c:v>
                </c:pt>
                <c:pt idx="12">
                  <c:v>7.8918918918918918E-2</c:v>
                </c:pt>
                <c:pt idx="13">
                  <c:v>7.8918918918918918E-2</c:v>
                </c:pt>
                <c:pt idx="14">
                  <c:v>7.8918918918918918E-2</c:v>
                </c:pt>
                <c:pt idx="15">
                  <c:v>7.8918918918918918E-2</c:v>
                </c:pt>
                <c:pt idx="16">
                  <c:v>7.8918918918918918E-2</c:v>
                </c:pt>
                <c:pt idx="17">
                  <c:v>7.8918918918918918E-2</c:v>
                </c:pt>
                <c:pt idx="18">
                  <c:v>7.8918918918918918E-2</c:v>
                </c:pt>
                <c:pt idx="19">
                  <c:v>7.8918918918918918E-2</c:v>
                </c:pt>
                <c:pt idx="20">
                  <c:v>7.8918918918918918E-2</c:v>
                </c:pt>
                <c:pt idx="21">
                  <c:v>7.8918918918918918E-2</c:v>
                </c:pt>
                <c:pt idx="22">
                  <c:v>7.8918918918918918E-2</c:v>
                </c:pt>
                <c:pt idx="23">
                  <c:v>7.8918918918918918E-2</c:v>
                </c:pt>
                <c:pt idx="24">
                  <c:v>7.8918918918918918E-2</c:v>
                </c:pt>
                <c:pt idx="25">
                  <c:v>7.8918918918918918E-2</c:v>
                </c:pt>
                <c:pt idx="26">
                  <c:v>7.8918918918918918E-2</c:v>
                </c:pt>
                <c:pt idx="27">
                  <c:v>7.8918918918918918E-2</c:v>
                </c:pt>
                <c:pt idx="28">
                  <c:v>7.8918918918918918E-2</c:v>
                </c:pt>
                <c:pt idx="29">
                  <c:v>7.8918918918918918E-2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C7-435A-B34A-12F001ED40AB}"/>
            </c:ext>
          </c:extLst>
        </c:ser>
        <c:ser>
          <c:idx val="2"/>
          <c:order val="2"/>
          <c:tx>
            <c:strRef>
              <c:f>'GRÁFICO U'!$H$7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U'!$H$8:$H$37</c:f>
              <c:numCache>
                <c:formatCode>0.00000</c:formatCode>
                <c:ptCount val="30"/>
                <c:pt idx="0">
                  <c:v>0.16678432180695474</c:v>
                </c:pt>
                <c:pt idx="1">
                  <c:v>0.18037714693864371</c:v>
                </c:pt>
                <c:pt idx="2">
                  <c:v>0.16979772079839825</c:v>
                </c:pt>
                <c:pt idx="3">
                  <c:v>0.16538584416053767</c:v>
                </c:pt>
                <c:pt idx="4">
                  <c:v>0.1549094120272527</c:v>
                </c:pt>
                <c:pt idx="5">
                  <c:v>0.16927391930661509</c:v>
                </c:pt>
                <c:pt idx="6">
                  <c:v>0.1768895619480641</c:v>
                </c:pt>
                <c:pt idx="7">
                  <c:v>0.17142553022744317</c:v>
                </c:pt>
                <c:pt idx="8">
                  <c:v>0.16196004045940421</c:v>
                </c:pt>
                <c:pt idx="9">
                  <c:v>0.18772074720244472</c:v>
                </c:pt>
                <c:pt idx="10">
                  <c:v>0.15118630794531979</c:v>
                </c:pt>
                <c:pt idx="11">
                  <c:v>0.17314406619064451</c:v>
                </c:pt>
                <c:pt idx="12">
                  <c:v>0.17964983843580878</c:v>
                </c:pt>
                <c:pt idx="13">
                  <c:v>0.17755831130213329</c:v>
                </c:pt>
                <c:pt idx="14">
                  <c:v>0.16825292607463438</c:v>
                </c:pt>
                <c:pt idx="15">
                  <c:v>0.15312114993232198</c:v>
                </c:pt>
                <c:pt idx="16">
                  <c:v>0.17434443493025159</c:v>
                </c:pt>
                <c:pt idx="17">
                  <c:v>0.16875907180866567</c:v>
                </c:pt>
                <c:pt idx="18">
                  <c:v>0.17559188024174491</c:v>
                </c:pt>
                <c:pt idx="19">
                  <c:v>0.16277819934492205</c:v>
                </c:pt>
                <c:pt idx="20">
                  <c:v>0.16678432180695474</c:v>
                </c:pt>
                <c:pt idx="21">
                  <c:v>0.17964983843580878</c:v>
                </c:pt>
                <c:pt idx="22">
                  <c:v>0.19360611590774218</c:v>
                </c:pt>
                <c:pt idx="23">
                  <c:v>0.17142553022744317</c:v>
                </c:pt>
                <c:pt idx="24">
                  <c:v>0.14452888999548857</c:v>
                </c:pt>
                <c:pt idx="25">
                  <c:v>0.15092207529084625</c:v>
                </c:pt>
                <c:pt idx="26">
                  <c:v>0.17373855251246087</c:v>
                </c:pt>
                <c:pt idx="27">
                  <c:v>0.17559188024174491</c:v>
                </c:pt>
                <c:pt idx="28">
                  <c:v>0.14842985723841121</c:v>
                </c:pt>
                <c:pt idx="29">
                  <c:v>0.17314406619064451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C7-435A-B34A-12F001ED40AB}"/>
            </c:ext>
          </c:extLst>
        </c:ser>
        <c:ser>
          <c:idx val="3"/>
          <c:order val="3"/>
          <c:tx>
            <c:strRef>
              <c:f>'GRÁFICO U'!$I$7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'GRÁFICO U'!$I$8:$I$37</c:f>
              <c:numCache>
                <c:formatCode>0.00000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2.9284258105851391E-3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6.6515298925180488E-3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4.7166879055158539E-3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1.3308947842349275E-2</c:v>
                </c:pt>
                <c:pt idx="25">
                  <c:v>6.9157625469915829E-3</c:v>
                </c:pt>
                <c:pt idx="26">
                  <c:v>0</c:v>
                </c:pt>
                <c:pt idx="27">
                  <c:v>0</c:v>
                </c:pt>
                <c:pt idx="28">
                  <c:v>9.4079805994266297E-3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C7-435A-B34A-12F001ED4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554576"/>
        <c:axId val="1687567088"/>
      </c:lineChart>
      <c:catAx>
        <c:axId val="1687554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7088"/>
        <c:crosses val="autoZero"/>
        <c:auto val="1"/>
        <c:lblAlgn val="ctr"/>
        <c:lblOffset val="100"/>
        <c:noMultiLvlLbl val="0"/>
      </c:catAx>
      <c:valAx>
        <c:axId val="168756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DEFECTOS</a:t>
                </a:r>
                <a:r>
                  <a:rPr lang="es-SV" baseline="0"/>
                  <a:t> POR UNIDAD</a:t>
                </a:r>
                <a:endParaRPr lang="es-SV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5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342900</xdr:colOff>
      <xdr:row>4</xdr:row>
      <xdr:rowOff>33337</xdr:rowOff>
    </xdr:from>
    <xdr:ext cx="1225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1104900" y="795337"/>
              <a:ext cx="1225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SV" sz="1100" b="0" i="1">
                        <a:latin typeface="Cambria Math" panose="02040503050406030204" pitchFamily="18" charset="0"/>
                      </a:rPr>
                      <m:t>𝐴</m:t>
                    </m:r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1104900" y="795337"/>
              <a:ext cx="1225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𝐴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2</xdr:col>
      <xdr:colOff>285750</xdr:colOff>
      <xdr:row>4</xdr:row>
      <xdr:rowOff>23812</xdr:rowOff>
    </xdr:from>
    <xdr:ext cx="18659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2571750" y="785812"/>
              <a:ext cx="18659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2571750" y="785812"/>
              <a:ext cx="18659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𝐴_2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3</xdr:col>
      <xdr:colOff>247650</xdr:colOff>
      <xdr:row>4</xdr:row>
      <xdr:rowOff>14287</xdr:rowOff>
    </xdr:from>
    <xdr:ext cx="18659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3295650" y="776287"/>
              <a:ext cx="18659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3295650" y="776287"/>
              <a:ext cx="18659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𝐴_3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4</xdr:col>
      <xdr:colOff>312587</xdr:colOff>
      <xdr:row>3</xdr:row>
      <xdr:rowOff>189723</xdr:rowOff>
    </xdr:from>
    <xdr:ext cx="1731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4122587" y="761223"/>
              <a:ext cx="17318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4122587" y="761223"/>
              <a:ext cx="17318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𝐶_4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5</xdr:col>
      <xdr:colOff>314325</xdr:colOff>
      <xdr:row>4</xdr:row>
      <xdr:rowOff>23812</xdr:rowOff>
    </xdr:from>
    <xdr:ext cx="18364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 txBox="1"/>
          </xdr:nvSpPr>
          <xdr:spPr>
            <a:xfrm>
              <a:off x="4886325" y="881062"/>
              <a:ext cx="1836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7" name="CuadroTexto 6"/>
            <xdr:cNvSpPr txBox="1"/>
          </xdr:nvSpPr>
          <xdr:spPr>
            <a:xfrm>
              <a:off x="4886325" y="881062"/>
              <a:ext cx="1836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𝐵_3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6</xdr:col>
      <xdr:colOff>304800</xdr:colOff>
      <xdr:row>4</xdr:row>
      <xdr:rowOff>14287</xdr:rowOff>
    </xdr:from>
    <xdr:ext cx="17761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 txBox="1"/>
          </xdr:nvSpPr>
          <xdr:spPr>
            <a:xfrm>
              <a:off x="5638800" y="871537"/>
              <a:ext cx="17761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5638800" y="871537"/>
              <a:ext cx="17761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𝐵_4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7</xdr:col>
      <xdr:colOff>342900</xdr:colOff>
      <xdr:row>4</xdr:row>
      <xdr:rowOff>23812</xdr:rowOff>
    </xdr:from>
    <xdr:ext cx="18364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 txBox="1"/>
          </xdr:nvSpPr>
          <xdr:spPr>
            <a:xfrm>
              <a:off x="6438900" y="881062"/>
              <a:ext cx="1836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5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9" name="CuadroTexto 8"/>
            <xdr:cNvSpPr txBox="1"/>
          </xdr:nvSpPr>
          <xdr:spPr>
            <a:xfrm>
              <a:off x="6438900" y="881062"/>
              <a:ext cx="1836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𝐵_5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8</xdr:col>
      <xdr:colOff>323850</xdr:colOff>
      <xdr:row>4</xdr:row>
      <xdr:rowOff>14287</xdr:rowOff>
    </xdr:from>
    <xdr:ext cx="18364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 txBox="1"/>
          </xdr:nvSpPr>
          <xdr:spPr>
            <a:xfrm>
              <a:off x="7181850" y="871537"/>
              <a:ext cx="1836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6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10" name="CuadroTexto 9"/>
            <xdr:cNvSpPr txBox="1"/>
          </xdr:nvSpPr>
          <xdr:spPr>
            <a:xfrm>
              <a:off x="7181850" y="871537"/>
              <a:ext cx="1836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𝐵_6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11</xdr:col>
      <xdr:colOff>295275</xdr:colOff>
      <xdr:row>4</xdr:row>
      <xdr:rowOff>14287</xdr:rowOff>
    </xdr:from>
    <xdr:ext cx="18338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10201275" y="871537"/>
              <a:ext cx="18338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11" name="CuadroTexto 10"/>
            <xdr:cNvSpPr txBox="1"/>
          </xdr:nvSpPr>
          <xdr:spPr>
            <a:xfrm>
              <a:off x="10201275" y="871537"/>
              <a:ext cx="18338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𝐷_1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12</xdr:col>
      <xdr:colOff>323850</xdr:colOff>
      <xdr:row>4</xdr:row>
      <xdr:rowOff>14287</xdr:rowOff>
    </xdr:from>
    <xdr:ext cx="18665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0991850" y="871537"/>
              <a:ext cx="1866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12" name="CuadroTexto 11"/>
            <xdr:cNvSpPr txBox="1"/>
          </xdr:nvSpPr>
          <xdr:spPr>
            <a:xfrm>
              <a:off x="10991850" y="871537"/>
              <a:ext cx="1866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𝐷_2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13</xdr:col>
      <xdr:colOff>285750</xdr:colOff>
      <xdr:row>4</xdr:row>
      <xdr:rowOff>4762</xdr:rowOff>
    </xdr:from>
    <xdr:ext cx="18665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11715750" y="862012"/>
              <a:ext cx="1866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13" name="CuadroTexto 12"/>
            <xdr:cNvSpPr txBox="1"/>
          </xdr:nvSpPr>
          <xdr:spPr>
            <a:xfrm>
              <a:off x="11715750" y="862012"/>
              <a:ext cx="1866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𝐷_3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14</xdr:col>
      <xdr:colOff>285750</xdr:colOff>
      <xdr:row>4</xdr:row>
      <xdr:rowOff>4762</xdr:rowOff>
    </xdr:from>
    <xdr:ext cx="18665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 txBox="1"/>
          </xdr:nvSpPr>
          <xdr:spPr>
            <a:xfrm>
              <a:off x="12477750" y="862012"/>
              <a:ext cx="1866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14" name="CuadroTexto 13"/>
            <xdr:cNvSpPr txBox="1"/>
          </xdr:nvSpPr>
          <xdr:spPr>
            <a:xfrm>
              <a:off x="12477750" y="862012"/>
              <a:ext cx="1866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𝐷_4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9</xdr:col>
      <xdr:colOff>323850</xdr:colOff>
      <xdr:row>4</xdr:row>
      <xdr:rowOff>23812</xdr:rowOff>
    </xdr:from>
    <xdr:ext cx="179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7943850" y="881062"/>
              <a:ext cx="179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15" name="CuadroTexto 14"/>
            <xdr:cNvSpPr txBox="1"/>
          </xdr:nvSpPr>
          <xdr:spPr>
            <a:xfrm>
              <a:off x="7943850" y="881062"/>
              <a:ext cx="179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𝑑_2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10</xdr:col>
      <xdr:colOff>323850</xdr:colOff>
      <xdr:row>4</xdr:row>
      <xdr:rowOff>4762</xdr:rowOff>
    </xdr:from>
    <xdr:ext cx="179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 txBox="1"/>
          </xdr:nvSpPr>
          <xdr:spPr>
            <a:xfrm>
              <a:off x="8705850" y="862012"/>
              <a:ext cx="179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16" name="CuadroTexto 15"/>
            <xdr:cNvSpPr txBox="1"/>
          </xdr:nvSpPr>
          <xdr:spPr>
            <a:xfrm>
              <a:off x="8705850" y="862012"/>
              <a:ext cx="179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𝑑_3</a:t>
              </a:r>
              <a:endParaRPr lang="es-SV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187994</xdr:colOff>
      <xdr:row>1</xdr:row>
      <xdr:rowOff>3</xdr:rowOff>
    </xdr:from>
    <xdr:to>
      <xdr:col>26</xdr:col>
      <xdr:colOff>661737</xdr:colOff>
      <xdr:row>3</xdr:row>
      <xdr:rowOff>110291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778794" y="200028"/>
          <a:ext cx="2759743" cy="6627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SV" sz="4000" b="1" u="sng"/>
            <a:t>GRÁFICO</a:t>
          </a:r>
          <a:r>
            <a:rPr lang="es-SV" sz="4000" b="1" u="sng" baseline="0"/>
            <a:t> X-R</a:t>
          </a:r>
          <a:endParaRPr lang="es-SV" sz="4000" b="1" u="sng"/>
        </a:p>
      </xdr:txBody>
    </xdr:sp>
    <xdr:clientData/>
  </xdr:twoCellAnchor>
  <xdr:twoCellAnchor>
    <xdr:from>
      <xdr:col>43</xdr:col>
      <xdr:colOff>237601</xdr:colOff>
      <xdr:row>12</xdr:row>
      <xdr:rowOff>124745</xdr:rowOff>
    </xdr:from>
    <xdr:to>
      <xdr:col>49</xdr:col>
      <xdr:colOff>522286</xdr:colOff>
      <xdr:row>26</xdr:row>
      <xdr:rowOff>92179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198601</xdr:colOff>
      <xdr:row>12</xdr:row>
      <xdr:rowOff>159356</xdr:rowOff>
    </xdr:from>
    <xdr:to>
      <xdr:col>42</xdr:col>
      <xdr:colOff>167060</xdr:colOff>
      <xdr:row>26</xdr:row>
      <xdr:rowOff>96189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126435</xdr:colOff>
      <xdr:row>27</xdr:row>
      <xdr:rowOff>32543</xdr:rowOff>
    </xdr:from>
    <xdr:to>
      <xdr:col>42</xdr:col>
      <xdr:colOff>595311</xdr:colOff>
      <xdr:row>33</xdr:row>
      <xdr:rowOff>9922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3194735" y="5795168"/>
          <a:ext cx="5821926" cy="120610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SV" sz="1200" b="1"/>
            <a:t>OBSERVACIONES</a:t>
          </a:r>
        </a:p>
      </xdr:txBody>
    </xdr:sp>
    <xdr:clientData/>
  </xdr:twoCellAnchor>
  <xdr:twoCellAnchor>
    <xdr:from>
      <xdr:col>43</xdr:col>
      <xdr:colOff>263734</xdr:colOff>
      <xdr:row>27</xdr:row>
      <xdr:rowOff>6077</xdr:rowOff>
    </xdr:from>
    <xdr:to>
      <xdr:col>49</xdr:col>
      <xdr:colOff>894139</xdr:colOff>
      <xdr:row>32</xdr:row>
      <xdr:rowOff>188515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9447084" y="5768702"/>
          <a:ext cx="5783430" cy="1182563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SV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OBSERVACIONES</a:t>
          </a:r>
          <a:endParaRPr lang="es-SV" sz="1200">
            <a:effectLst/>
          </a:endParaRPr>
        </a:p>
        <a:p>
          <a:pPr algn="l"/>
          <a:endParaRPr lang="es-SV" sz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187994</xdr:colOff>
      <xdr:row>1</xdr:row>
      <xdr:rowOff>3</xdr:rowOff>
    </xdr:from>
    <xdr:to>
      <xdr:col>26</xdr:col>
      <xdr:colOff>661737</xdr:colOff>
      <xdr:row>3</xdr:row>
      <xdr:rowOff>110291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2473994" y="250661"/>
          <a:ext cx="2759743" cy="6617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SV" sz="4000" b="1" u="sng"/>
            <a:t>Graficas</a:t>
          </a:r>
          <a:r>
            <a:rPr lang="es-SV" sz="4000" b="1" u="sng" baseline="0"/>
            <a:t> X-S</a:t>
          </a:r>
        </a:p>
        <a:p>
          <a:pPr algn="ctr"/>
          <a:endParaRPr lang="es-SV" sz="4000" b="1" u="sng"/>
        </a:p>
      </xdr:txBody>
    </xdr:sp>
    <xdr:clientData/>
  </xdr:twoCellAnchor>
  <xdr:twoCellAnchor>
    <xdr:from>
      <xdr:col>43</xdr:col>
      <xdr:colOff>360294</xdr:colOff>
      <xdr:row>13</xdr:row>
      <xdr:rowOff>93576</xdr:rowOff>
    </xdr:from>
    <xdr:to>
      <xdr:col>49</xdr:col>
      <xdr:colOff>644979</xdr:colOff>
      <xdr:row>27</xdr:row>
      <xdr:rowOff>64978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190664</xdr:colOff>
      <xdr:row>13</xdr:row>
      <xdr:rowOff>145464</xdr:rowOff>
    </xdr:from>
    <xdr:to>
      <xdr:col>42</xdr:col>
      <xdr:colOff>159123</xdr:colOff>
      <xdr:row>27</xdr:row>
      <xdr:rowOff>82297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114819</xdr:colOff>
      <xdr:row>28</xdr:row>
      <xdr:rowOff>55774</xdr:rowOff>
    </xdr:from>
    <xdr:to>
      <xdr:col>42</xdr:col>
      <xdr:colOff>583695</xdr:colOff>
      <xdr:row>32</xdr:row>
      <xdr:rowOff>185854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3240734" y="5945012"/>
          <a:ext cx="5847016" cy="91995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SV" sz="1200" b="1"/>
            <a:t>OBSERVACIONES</a:t>
          </a:r>
        </a:p>
        <a:p>
          <a:pPr algn="l"/>
          <a:r>
            <a:rPr lang="es-SV" sz="1200"/>
            <a:t>El proceso se encuentra bajo control debido a que no se observa ningún patrón en los datos, no hay</a:t>
          </a:r>
          <a:r>
            <a:rPr lang="es-SV" sz="1200" baseline="0"/>
            <a:t> puntos fuera de los límites de control y la cantidad de puntos arriba y abajo de la línea de control es aproximadamente la misma</a:t>
          </a:r>
          <a:endParaRPr lang="es-SV" sz="1200"/>
        </a:p>
      </xdr:txBody>
    </xdr:sp>
    <xdr:clientData/>
  </xdr:twoCellAnchor>
  <xdr:twoCellAnchor>
    <xdr:from>
      <xdr:col>43</xdr:col>
      <xdr:colOff>263734</xdr:colOff>
      <xdr:row>28</xdr:row>
      <xdr:rowOff>52540</xdr:rowOff>
    </xdr:from>
    <xdr:to>
      <xdr:col>49</xdr:col>
      <xdr:colOff>894139</xdr:colOff>
      <xdr:row>32</xdr:row>
      <xdr:rowOff>197469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19534435" y="5941778"/>
          <a:ext cx="5799460" cy="93480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SV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OBSERVACIONES</a:t>
          </a:r>
          <a:endParaRPr lang="es-SV" sz="1200">
            <a:effectLst/>
          </a:endParaRPr>
        </a:p>
        <a:p>
          <a:pPr algn="l"/>
          <a:r>
            <a:rPr lang="es-SV" sz="1200"/>
            <a:t>Al igual que el gráfico anterior el proceso se encuentra bajo control porque no se observa</a:t>
          </a:r>
          <a:r>
            <a:rPr lang="es-SV" sz="1200" baseline="0"/>
            <a:t> ningún </a:t>
          </a:r>
          <a:r>
            <a:rPr lang="es-SV" sz="1200"/>
            <a:t>patrón en los datos, no hay</a:t>
          </a:r>
          <a:r>
            <a:rPr lang="es-SV" sz="1200" baseline="0"/>
            <a:t> puntos fuera de los límites de control y la cantidad de puntos arriba y abajo de la línea de control es aproximadamente la misma</a:t>
          </a:r>
          <a:endParaRPr lang="es-SV" sz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187994</xdr:colOff>
      <xdr:row>1</xdr:row>
      <xdr:rowOff>3</xdr:rowOff>
    </xdr:from>
    <xdr:to>
      <xdr:col>26</xdr:col>
      <xdr:colOff>661737</xdr:colOff>
      <xdr:row>3</xdr:row>
      <xdr:rowOff>110291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2778794" y="200028"/>
          <a:ext cx="2759743" cy="6627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SV" sz="4000" b="1" u="sng"/>
            <a:t>GRÁFICO</a:t>
          </a:r>
          <a:r>
            <a:rPr lang="es-SV" sz="4000" b="1" u="sng" baseline="0"/>
            <a:t> X-S</a:t>
          </a:r>
        </a:p>
        <a:p>
          <a:pPr algn="ctr"/>
          <a:endParaRPr lang="es-SV" sz="4000" b="1" u="sng"/>
        </a:p>
      </xdr:txBody>
    </xdr:sp>
    <xdr:clientData/>
  </xdr:twoCellAnchor>
  <xdr:twoCellAnchor>
    <xdr:from>
      <xdr:col>47</xdr:col>
      <xdr:colOff>287211</xdr:colOff>
      <xdr:row>12</xdr:row>
      <xdr:rowOff>136652</xdr:rowOff>
    </xdr:from>
    <xdr:to>
      <xdr:col>53</xdr:col>
      <xdr:colOff>571896</xdr:colOff>
      <xdr:row>26</xdr:row>
      <xdr:rowOff>108054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220429</xdr:colOff>
      <xdr:row>13</xdr:row>
      <xdr:rowOff>6558</xdr:rowOff>
    </xdr:from>
    <xdr:to>
      <xdr:col>46</xdr:col>
      <xdr:colOff>188888</xdr:colOff>
      <xdr:row>26</xdr:row>
      <xdr:rowOff>141829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40</xdr:col>
      <xdr:colOff>126435</xdr:colOff>
      <xdr:row>27</xdr:row>
      <xdr:rowOff>32543</xdr:rowOff>
    </xdr:from>
    <xdr:to>
      <xdr:col>46</xdr:col>
      <xdr:colOff>595311</xdr:colOff>
      <xdr:row>33</xdr:row>
      <xdr:rowOff>9922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3194735" y="5795168"/>
          <a:ext cx="5821926" cy="120610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SV" sz="1200" b="1"/>
            <a:t>OBSERVACIONES</a:t>
          </a:r>
        </a:p>
      </xdr:txBody>
    </xdr:sp>
    <xdr:clientData/>
  </xdr:twoCellAnchor>
  <xdr:twoCellAnchor>
    <xdr:from>
      <xdr:col>47</xdr:col>
      <xdr:colOff>263734</xdr:colOff>
      <xdr:row>27</xdr:row>
      <xdr:rowOff>35843</xdr:rowOff>
    </xdr:from>
    <xdr:to>
      <xdr:col>53</xdr:col>
      <xdr:colOff>894139</xdr:colOff>
      <xdr:row>32</xdr:row>
      <xdr:rowOff>218281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41201390" y="5681390"/>
          <a:ext cx="5789780" cy="11746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SV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OBSERVACIONES</a:t>
          </a:r>
          <a:endParaRPr lang="es-SV" sz="1200"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237601</xdr:colOff>
      <xdr:row>12</xdr:row>
      <xdr:rowOff>124745</xdr:rowOff>
    </xdr:from>
    <xdr:to>
      <xdr:col>24</xdr:col>
      <xdr:colOff>522286</xdr:colOff>
      <xdr:row>26</xdr:row>
      <xdr:rowOff>92179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198601</xdr:colOff>
      <xdr:row>12</xdr:row>
      <xdr:rowOff>159356</xdr:rowOff>
    </xdr:from>
    <xdr:to>
      <xdr:col>17</xdr:col>
      <xdr:colOff>167060</xdr:colOff>
      <xdr:row>26</xdr:row>
      <xdr:rowOff>96189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126435</xdr:colOff>
      <xdr:row>27</xdr:row>
      <xdr:rowOff>32543</xdr:rowOff>
    </xdr:from>
    <xdr:to>
      <xdr:col>17</xdr:col>
      <xdr:colOff>595311</xdr:colOff>
      <xdr:row>33</xdr:row>
      <xdr:rowOff>9922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14718735" y="5795168"/>
          <a:ext cx="5821926" cy="120610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SV" sz="1200" b="1"/>
            <a:t>OBSERVACIONES</a:t>
          </a:r>
        </a:p>
      </xdr:txBody>
    </xdr:sp>
    <xdr:clientData/>
  </xdr:twoCellAnchor>
  <xdr:twoCellAnchor>
    <xdr:from>
      <xdr:col>18</xdr:col>
      <xdr:colOff>263734</xdr:colOff>
      <xdr:row>27</xdr:row>
      <xdr:rowOff>6077</xdr:rowOff>
    </xdr:from>
    <xdr:to>
      <xdr:col>24</xdr:col>
      <xdr:colOff>894139</xdr:colOff>
      <xdr:row>32</xdr:row>
      <xdr:rowOff>188515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20971084" y="5768702"/>
          <a:ext cx="5783430" cy="1182563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SV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OBSERVACIONES</a:t>
          </a:r>
          <a:endParaRPr lang="es-SV" sz="1200">
            <a:effectLst/>
          </a:endParaRPr>
        </a:p>
        <a:p>
          <a:pPr algn="l"/>
          <a:endParaRPr lang="es-SV" sz="1200"/>
        </a:p>
      </xdr:txBody>
    </xdr:sp>
    <xdr:clientData/>
  </xdr:twoCellAnchor>
  <xdr:twoCellAnchor>
    <xdr:from>
      <xdr:col>2</xdr:col>
      <xdr:colOff>1042737</xdr:colOff>
      <xdr:row>1</xdr:row>
      <xdr:rowOff>90237</xdr:rowOff>
    </xdr:from>
    <xdr:to>
      <xdr:col>5</xdr:col>
      <xdr:colOff>20052</xdr:colOff>
      <xdr:row>4</xdr:row>
      <xdr:rowOff>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3228474" y="290763"/>
          <a:ext cx="2977815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2400" b="1" u="sng"/>
            <a:t>GRÁFICO 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1350603</xdr:colOff>
      <xdr:row>1</xdr:row>
      <xdr:rowOff>3</xdr:rowOff>
    </xdr:from>
    <xdr:to>
      <xdr:col>4</xdr:col>
      <xdr:colOff>238123</xdr:colOff>
      <xdr:row>3</xdr:row>
      <xdr:rowOff>110291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3150548" y="203110"/>
          <a:ext cx="2942649" cy="628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SV" sz="4000" b="1" u="sng"/>
            <a:t>GRÁFICO</a:t>
          </a:r>
          <a:r>
            <a:rPr lang="es-SV" sz="4000" b="1" u="sng" baseline="0"/>
            <a:t> P</a:t>
          </a:r>
          <a:endParaRPr lang="es-SV" sz="4000" b="1" u="sng"/>
        </a:p>
      </xdr:txBody>
    </xdr:sp>
    <xdr:clientData/>
  </xdr:twoCellAnchor>
  <xdr:twoCellAnchor>
    <xdr:from>
      <xdr:col>25</xdr:col>
      <xdr:colOff>237601</xdr:colOff>
      <xdr:row>12</xdr:row>
      <xdr:rowOff>124745</xdr:rowOff>
    </xdr:from>
    <xdr:to>
      <xdr:col>31</xdr:col>
      <xdr:colOff>522286</xdr:colOff>
      <xdr:row>26</xdr:row>
      <xdr:rowOff>92179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198601</xdr:colOff>
      <xdr:row>12</xdr:row>
      <xdr:rowOff>159356</xdr:rowOff>
    </xdr:from>
    <xdr:to>
      <xdr:col>24</xdr:col>
      <xdr:colOff>167060</xdr:colOff>
      <xdr:row>26</xdr:row>
      <xdr:rowOff>96189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126435</xdr:colOff>
      <xdr:row>27</xdr:row>
      <xdr:rowOff>32543</xdr:rowOff>
    </xdr:from>
    <xdr:to>
      <xdr:col>24</xdr:col>
      <xdr:colOff>595311</xdr:colOff>
      <xdr:row>33</xdr:row>
      <xdr:rowOff>9922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14718735" y="5795168"/>
          <a:ext cx="5821926" cy="120610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SV" sz="1200" b="1"/>
            <a:t>OBSERVACIONES</a:t>
          </a:r>
        </a:p>
      </xdr:txBody>
    </xdr:sp>
    <xdr:clientData/>
  </xdr:twoCellAnchor>
  <xdr:twoCellAnchor>
    <xdr:from>
      <xdr:col>25</xdr:col>
      <xdr:colOff>263734</xdr:colOff>
      <xdr:row>27</xdr:row>
      <xdr:rowOff>6077</xdr:rowOff>
    </xdr:from>
    <xdr:to>
      <xdr:col>31</xdr:col>
      <xdr:colOff>894139</xdr:colOff>
      <xdr:row>32</xdr:row>
      <xdr:rowOff>188515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20971084" y="5768702"/>
          <a:ext cx="5783430" cy="1182563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SV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OBSERVACIONES</a:t>
          </a:r>
          <a:endParaRPr lang="es-SV" sz="1200">
            <a:effectLst/>
          </a:endParaRPr>
        </a:p>
        <a:p>
          <a:pPr algn="l"/>
          <a:endParaRPr lang="es-SV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483827</xdr:colOff>
      <xdr:row>0</xdr:row>
      <xdr:rowOff>171453</xdr:rowOff>
    </xdr:from>
    <xdr:to>
      <xdr:col>8</xdr:col>
      <xdr:colOff>266699</xdr:colOff>
      <xdr:row>3</xdr:row>
      <xdr:rowOff>81716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3531827" y="171453"/>
          <a:ext cx="3545247" cy="6341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SV" sz="4000" b="1" u="sng"/>
            <a:t>GRÁFICO</a:t>
          </a:r>
          <a:r>
            <a:rPr lang="es-SV" sz="4000" b="1" u="sng" baseline="0"/>
            <a:t> P</a:t>
          </a:r>
          <a:endParaRPr lang="es-SV" sz="4000" b="1" u="sng"/>
        </a:p>
      </xdr:txBody>
    </xdr:sp>
    <xdr:clientData/>
  </xdr:twoCellAnchor>
  <xdr:twoCellAnchor>
    <xdr:from>
      <xdr:col>25</xdr:col>
      <xdr:colOff>237601</xdr:colOff>
      <xdr:row>12</xdr:row>
      <xdr:rowOff>124745</xdr:rowOff>
    </xdr:from>
    <xdr:to>
      <xdr:col>31</xdr:col>
      <xdr:colOff>522286</xdr:colOff>
      <xdr:row>26</xdr:row>
      <xdr:rowOff>92179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198601</xdr:colOff>
      <xdr:row>12</xdr:row>
      <xdr:rowOff>159356</xdr:rowOff>
    </xdr:from>
    <xdr:to>
      <xdr:col>24</xdr:col>
      <xdr:colOff>167060</xdr:colOff>
      <xdr:row>26</xdr:row>
      <xdr:rowOff>96189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126435</xdr:colOff>
      <xdr:row>27</xdr:row>
      <xdr:rowOff>32543</xdr:rowOff>
    </xdr:from>
    <xdr:to>
      <xdr:col>24</xdr:col>
      <xdr:colOff>595311</xdr:colOff>
      <xdr:row>33</xdr:row>
      <xdr:rowOff>9922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22529235" y="5614193"/>
          <a:ext cx="6326751" cy="1177529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SV" sz="1200" b="1"/>
            <a:t>OBSERVACIONES</a:t>
          </a:r>
        </a:p>
      </xdr:txBody>
    </xdr:sp>
    <xdr:clientData/>
  </xdr:twoCellAnchor>
  <xdr:twoCellAnchor>
    <xdr:from>
      <xdr:col>25</xdr:col>
      <xdr:colOff>263734</xdr:colOff>
      <xdr:row>27</xdr:row>
      <xdr:rowOff>6077</xdr:rowOff>
    </xdr:from>
    <xdr:to>
      <xdr:col>31</xdr:col>
      <xdr:colOff>894139</xdr:colOff>
      <xdr:row>32</xdr:row>
      <xdr:rowOff>188515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29286409" y="5587727"/>
          <a:ext cx="5545305" cy="1182563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SV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OBSERVACIONES</a:t>
          </a:r>
          <a:endParaRPr lang="es-SV" sz="1200">
            <a:effectLst/>
          </a:endParaRPr>
        </a:p>
        <a:p>
          <a:pPr algn="l"/>
          <a:endParaRPr lang="es-SV" sz="12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483827</xdr:colOff>
      <xdr:row>0</xdr:row>
      <xdr:rowOff>171453</xdr:rowOff>
    </xdr:from>
    <xdr:to>
      <xdr:col>7</xdr:col>
      <xdr:colOff>695325</xdr:colOff>
      <xdr:row>3</xdr:row>
      <xdr:rowOff>76200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/>
      </xdr:nvSpPr>
      <xdr:spPr>
        <a:xfrm>
          <a:off x="3531827" y="171453"/>
          <a:ext cx="3259498" cy="6762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SV" sz="4000" b="1" u="sng"/>
            <a:t>GRÁFICO</a:t>
          </a:r>
          <a:r>
            <a:rPr lang="es-SV" sz="4000" b="1" u="sng" baseline="0"/>
            <a:t> nP</a:t>
          </a:r>
          <a:endParaRPr lang="es-SV" sz="4000" b="1" u="sng"/>
        </a:p>
      </xdr:txBody>
    </xdr:sp>
    <xdr:clientData/>
  </xdr:twoCellAnchor>
  <xdr:twoCellAnchor>
    <xdr:from>
      <xdr:col>24</xdr:col>
      <xdr:colOff>237601</xdr:colOff>
      <xdr:row>11</xdr:row>
      <xdr:rowOff>124745</xdr:rowOff>
    </xdr:from>
    <xdr:to>
      <xdr:col>30</xdr:col>
      <xdr:colOff>522286</xdr:colOff>
      <xdr:row>25</xdr:row>
      <xdr:rowOff>92179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198601</xdr:colOff>
      <xdr:row>11</xdr:row>
      <xdr:rowOff>159356</xdr:rowOff>
    </xdr:from>
    <xdr:to>
      <xdr:col>23</xdr:col>
      <xdr:colOff>167060</xdr:colOff>
      <xdr:row>25</xdr:row>
      <xdr:rowOff>96189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126435</xdr:colOff>
      <xdr:row>26</xdr:row>
      <xdr:rowOff>32543</xdr:rowOff>
    </xdr:from>
    <xdr:to>
      <xdr:col>23</xdr:col>
      <xdr:colOff>595311</xdr:colOff>
      <xdr:row>32</xdr:row>
      <xdr:rowOff>9922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19271685" y="5652293"/>
          <a:ext cx="5040876" cy="1177529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SV" sz="1200" b="1"/>
            <a:t>OBSERVACIONES</a:t>
          </a:r>
        </a:p>
      </xdr:txBody>
    </xdr:sp>
    <xdr:clientData/>
  </xdr:twoCellAnchor>
  <xdr:twoCellAnchor>
    <xdr:from>
      <xdr:col>24</xdr:col>
      <xdr:colOff>263734</xdr:colOff>
      <xdr:row>26</xdr:row>
      <xdr:rowOff>6077</xdr:rowOff>
    </xdr:from>
    <xdr:to>
      <xdr:col>30</xdr:col>
      <xdr:colOff>894139</xdr:colOff>
      <xdr:row>31</xdr:row>
      <xdr:rowOff>188515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 txBox="1"/>
      </xdr:nvSpPr>
      <xdr:spPr>
        <a:xfrm>
          <a:off x="24742984" y="5625827"/>
          <a:ext cx="5069055" cy="1182563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SV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OBSERVACIONES</a:t>
          </a:r>
          <a:endParaRPr lang="es-SV" sz="1200">
            <a:effectLst/>
          </a:endParaRPr>
        </a:p>
        <a:p>
          <a:pPr algn="l"/>
          <a:endParaRPr lang="es-SV" sz="12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171453</xdr:rowOff>
    </xdr:from>
    <xdr:to>
      <xdr:col>6</xdr:col>
      <xdr:colOff>171450</xdr:colOff>
      <xdr:row>3</xdr:row>
      <xdr:rowOff>76200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2162175" y="171453"/>
          <a:ext cx="3219450" cy="7048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SV" sz="4000" b="1" u="sng"/>
            <a:t>GRÁFICO</a:t>
          </a:r>
          <a:r>
            <a:rPr lang="es-SV" sz="4000" b="1" u="sng" baseline="0"/>
            <a:t> C</a:t>
          </a:r>
          <a:endParaRPr lang="es-SV" sz="4000" b="1" u="sng"/>
        </a:p>
      </xdr:txBody>
    </xdr:sp>
    <xdr:clientData/>
  </xdr:twoCellAnchor>
  <xdr:twoCellAnchor>
    <xdr:from>
      <xdr:col>7</xdr:col>
      <xdr:colOff>198601</xdr:colOff>
      <xdr:row>12</xdr:row>
      <xdr:rowOff>159356</xdr:rowOff>
    </xdr:from>
    <xdr:to>
      <xdr:col>13</xdr:col>
      <xdr:colOff>167060</xdr:colOff>
      <xdr:row>26</xdr:row>
      <xdr:rowOff>96189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126435</xdr:colOff>
      <xdr:row>27</xdr:row>
      <xdr:rowOff>32543</xdr:rowOff>
    </xdr:from>
    <xdr:to>
      <xdr:col>13</xdr:col>
      <xdr:colOff>595311</xdr:colOff>
      <xdr:row>33</xdr:row>
      <xdr:rowOff>9922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17052360" y="5452268"/>
          <a:ext cx="6441051" cy="1177529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SV" sz="1200" b="1"/>
            <a:t>OBSERVACIONES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1040086</xdr:colOff>
      <xdr:row>0</xdr:row>
      <xdr:rowOff>182400</xdr:rowOff>
    </xdr:from>
    <xdr:to>
      <xdr:col>5</xdr:col>
      <xdr:colOff>1255330</xdr:colOff>
      <xdr:row>3</xdr:row>
      <xdr:rowOff>87147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4477845" y="182400"/>
          <a:ext cx="3236968" cy="6601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SV" sz="4000" b="1" u="sng"/>
            <a:t>GRÁFICO</a:t>
          </a:r>
          <a:r>
            <a:rPr lang="es-SV" sz="4000" b="1" u="sng" baseline="0"/>
            <a:t> U</a:t>
          </a:r>
          <a:endParaRPr lang="es-SV" sz="4000" b="1" u="sng"/>
        </a:p>
      </xdr:txBody>
    </xdr:sp>
    <xdr:clientData/>
  </xdr:twoCellAnchor>
  <xdr:twoCellAnchor>
    <xdr:from>
      <xdr:col>11</xdr:col>
      <xdr:colOff>198601</xdr:colOff>
      <xdr:row>12</xdr:row>
      <xdr:rowOff>159356</xdr:rowOff>
    </xdr:from>
    <xdr:to>
      <xdr:col>17</xdr:col>
      <xdr:colOff>547414</xdr:colOff>
      <xdr:row>26</xdr:row>
      <xdr:rowOff>96189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126435</xdr:colOff>
      <xdr:row>27</xdr:row>
      <xdr:rowOff>32543</xdr:rowOff>
    </xdr:from>
    <xdr:to>
      <xdr:col>17</xdr:col>
      <xdr:colOff>595311</xdr:colOff>
      <xdr:row>33</xdr:row>
      <xdr:rowOff>9922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/>
      </xdr:nvSpPr>
      <xdr:spPr>
        <a:xfrm>
          <a:off x="6098610" y="5652293"/>
          <a:ext cx="5545701" cy="1177529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SV" sz="1200" b="1"/>
            <a:t>OBSERVACIONES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E1:R30"/>
  <sheetViews>
    <sheetView showGridLines="0" tabSelected="1" topLeftCell="K1" zoomScale="130" zoomScaleNormal="130" workbookViewId="0"/>
  </sheetViews>
  <sheetFormatPr baseColWidth="10" defaultRowHeight="15"/>
  <cols>
    <col min="1" max="4" width="0" hidden="1" customWidth="1"/>
    <col min="7" max="7" width="16.42578125" customWidth="1"/>
    <col min="12" max="12" width="28.5703125" customWidth="1"/>
    <col min="13" max="13" width="23" customWidth="1"/>
    <col min="15" max="15" width="28" customWidth="1"/>
    <col min="18" max="18" width="13.85546875" customWidth="1"/>
    <col min="2000" max="2000" width="2.7109375" customWidth="1"/>
  </cols>
  <sheetData>
    <row r="1" spans="5:18" ht="10.5" customHeight="1">
      <c r="K1" s="40"/>
      <c r="L1" s="40"/>
      <c r="M1" s="40"/>
      <c r="N1" s="40"/>
      <c r="O1" s="21"/>
      <c r="P1" s="19"/>
    </row>
    <row r="2" spans="5:18" ht="6" customHeight="1">
      <c r="J2" s="204" t="s">
        <v>27</v>
      </c>
      <c r="K2" s="204"/>
      <c r="L2" s="204"/>
      <c r="N2" s="41"/>
    </row>
    <row r="3" spans="5:18" ht="15" customHeight="1">
      <c r="H3" s="41"/>
      <c r="I3" s="40"/>
      <c r="J3" s="204"/>
      <c r="K3" s="204"/>
      <c r="L3" s="204"/>
      <c r="M3" s="41"/>
      <c r="N3" s="41"/>
    </row>
    <row r="4" spans="5:18" ht="18.75" customHeight="1">
      <c r="H4" s="41"/>
      <c r="J4" s="204"/>
      <c r="K4" s="204"/>
      <c r="L4" s="204"/>
      <c r="M4" s="41"/>
      <c r="N4" s="41"/>
    </row>
    <row r="5" spans="5:18" ht="15" customHeight="1" thickBot="1">
      <c r="J5" s="94"/>
      <c r="K5" s="94"/>
      <c r="L5" s="94"/>
      <c r="M5" s="41"/>
      <c r="N5" s="41"/>
    </row>
    <row r="6" spans="5:18" ht="15" customHeight="1" thickBot="1">
      <c r="H6" s="176" t="s">
        <v>13</v>
      </c>
      <c r="I6" s="177"/>
      <c r="K6" s="180" t="s">
        <v>44</v>
      </c>
      <c r="L6" s="181"/>
      <c r="M6" s="41"/>
      <c r="N6" s="205" t="s">
        <v>45</v>
      </c>
      <c r="O6" s="206"/>
      <c r="P6" s="206"/>
      <c r="Q6" s="206"/>
      <c r="R6" s="207"/>
    </row>
    <row r="7" spans="5:18" ht="15" customHeight="1" thickBot="1">
      <c r="H7" s="178"/>
      <c r="I7" s="179"/>
      <c r="K7" s="21"/>
      <c r="M7" s="19"/>
      <c r="N7" s="19"/>
    </row>
    <row r="8" spans="5:18" s="84" customFormat="1" ht="15" customHeight="1" thickBot="1">
      <c r="K8" s="214" t="s">
        <v>32</v>
      </c>
      <c r="L8" s="215"/>
      <c r="M8" s="19"/>
      <c r="N8" s="208" t="s">
        <v>46</v>
      </c>
      <c r="O8" s="209"/>
      <c r="Q8" s="208" t="s">
        <v>72</v>
      </c>
      <c r="R8" s="209"/>
    </row>
    <row r="9" spans="5:18" ht="15" customHeight="1" thickBot="1">
      <c r="K9" s="216"/>
      <c r="L9" s="217"/>
      <c r="N9" s="19"/>
    </row>
    <row r="10" spans="5:18" ht="15" customHeight="1" thickBot="1">
      <c r="K10" s="19"/>
      <c r="L10" s="19"/>
      <c r="N10" s="210" t="s">
        <v>48</v>
      </c>
      <c r="O10" s="211"/>
      <c r="Q10" s="192" t="s">
        <v>51</v>
      </c>
      <c r="R10" s="193"/>
    </row>
    <row r="11" spans="5:18" ht="15" customHeight="1" thickBot="1">
      <c r="J11" s="175" t="s">
        <v>47</v>
      </c>
      <c r="K11" s="188" t="s">
        <v>40</v>
      </c>
      <c r="L11" s="189"/>
      <c r="N11" s="212"/>
      <c r="O11" s="213"/>
      <c r="Q11" s="194"/>
      <c r="R11" s="195"/>
    </row>
    <row r="12" spans="5:18" ht="15" customHeight="1" thickBot="1">
      <c r="H12" s="19"/>
      <c r="I12" s="19"/>
      <c r="J12" s="19"/>
      <c r="K12" s="190"/>
      <c r="L12" s="191"/>
      <c r="N12" s="19"/>
      <c r="O12" s="19"/>
    </row>
    <row r="13" spans="5:18" ht="15" customHeight="1" thickBot="1">
      <c r="E13" s="182"/>
      <c r="F13" s="182"/>
      <c r="G13" s="182"/>
      <c r="K13" s="19"/>
      <c r="L13" s="19"/>
      <c r="N13" s="230" t="s">
        <v>49</v>
      </c>
      <c r="O13" s="231"/>
      <c r="Q13" s="196" t="s">
        <v>52</v>
      </c>
      <c r="R13" s="197"/>
    </row>
    <row r="14" spans="5:18" ht="15" customHeight="1" thickBot="1">
      <c r="J14" s="19"/>
      <c r="K14" s="184" t="s">
        <v>41</v>
      </c>
      <c r="L14" s="185"/>
      <c r="N14" s="232"/>
      <c r="O14" s="233"/>
      <c r="Q14" s="198"/>
      <c r="R14" s="199"/>
    </row>
    <row r="15" spans="5:18" ht="15" customHeight="1" thickBot="1">
      <c r="E15" s="183" t="s">
        <v>82</v>
      </c>
      <c r="F15" s="183"/>
      <c r="G15" s="183"/>
      <c r="H15" s="19"/>
      <c r="I15" s="19"/>
      <c r="J15" s="19"/>
      <c r="K15" s="186"/>
      <c r="L15" s="187"/>
      <c r="N15" s="19"/>
      <c r="O15" s="19"/>
    </row>
    <row r="16" spans="5:18" ht="15" customHeight="1" thickBot="1">
      <c r="E16" s="183" t="s">
        <v>26</v>
      </c>
      <c r="F16" s="183"/>
      <c r="G16" s="183"/>
      <c r="H16" s="19"/>
      <c r="I16" s="19"/>
      <c r="J16" s="19"/>
      <c r="N16" s="234" t="s">
        <v>50</v>
      </c>
      <c r="O16" s="235"/>
    </row>
    <row r="17" spans="5:15" ht="15.75" customHeight="1" thickBot="1">
      <c r="K17" s="200" t="s">
        <v>53</v>
      </c>
      <c r="L17" s="201"/>
      <c r="N17" s="236"/>
      <c r="O17" s="237"/>
    </row>
    <row r="18" spans="5:15" ht="15.75" thickBot="1">
      <c r="E18" s="227" t="s">
        <v>83</v>
      </c>
      <c r="F18" s="228"/>
      <c r="G18" s="228"/>
      <c r="H18" s="228"/>
      <c r="I18" s="229"/>
      <c r="K18" s="202"/>
      <c r="L18" s="203"/>
      <c r="M18" s="20"/>
      <c r="N18" s="20"/>
      <c r="O18" s="20"/>
    </row>
    <row r="19" spans="5:15" ht="15" customHeight="1">
      <c r="E19" s="218" t="s">
        <v>84</v>
      </c>
      <c r="F19" s="219"/>
      <c r="G19" s="219"/>
      <c r="H19" s="219"/>
      <c r="I19" s="220"/>
    </row>
    <row r="20" spans="5:15" ht="15.75" customHeight="1">
      <c r="E20" s="221"/>
      <c r="F20" s="222"/>
      <c r="G20" s="222"/>
      <c r="H20" s="222"/>
      <c r="I20" s="223"/>
    </row>
    <row r="21" spans="5:15">
      <c r="E21" s="221"/>
      <c r="F21" s="222"/>
      <c r="G21" s="222"/>
      <c r="H21" s="222"/>
      <c r="I21" s="223"/>
    </row>
    <row r="22" spans="5:15">
      <c r="E22" s="221"/>
      <c r="F22" s="222"/>
      <c r="G22" s="222"/>
      <c r="H22" s="222"/>
      <c r="I22" s="223"/>
    </row>
    <row r="23" spans="5:15">
      <c r="E23" s="221"/>
      <c r="F23" s="222"/>
      <c r="G23" s="222"/>
      <c r="H23" s="222"/>
      <c r="I23" s="223"/>
    </row>
    <row r="24" spans="5:15" ht="15.75" thickBot="1">
      <c r="E24" s="224"/>
      <c r="F24" s="225"/>
      <c r="G24" s="225"/>
      <c r="H24" s="225"/>
      <c r="I24" s="226"/>
    </row>
    <row r="25" spans="5:15" ht="15" customHeight="1">
      <c r="E25" s="84"/>
      <c r="F25" s="84"/>
      <c r="G25" s="84"/>
      <c r="H25" s="84"/>
      <c r="I25" s="84"/>
    </row>
    <row r="26" spans="5:15">
      <c r="E26" s="84"/>
      <c r="F26" s="84"/>
      <c r="G26" s="84"/>
      <c r="H26" s="84"/>
      <c r="I26" s="84"/>
    </row>
    <row r="27" spans="5:15">
      <c r="E27" s="84"/>
      <c r="F27" s="84"/>
      <c r="G27" s="84"/>
      <c r="H27" s="84"/>
      <c r="I27" s="84"/>
    </row>
    <row r="28" spans="5:15">
      <c r="E28" s="84"/>
      <c r="F28" s="84"/>
      <c r="G28" s="84"/>
      <c r="H28" s="84"/>
      <c r="I28" s="84"/>
    </row>
    <row r="29" spans="5:15">
      <c r="E29" s="84"/>
      <c r="F29" s="84"/>
      <c r="G29" s="84"/>
      <c r="H29" s="84"/>
      <c r="I29" s="84"/>
    </row>
    <row r="30" spans="5:15">
      <c r="E30" s="84"/>
      <c r="F30" s="84"/>
      <c r="G30" s="84"/>
      <c r="H30" s="84"/>
      <c r="I30" s="84"/>
    </row>
  </sheetData>
  <sheetProtection algorithmName="SHA-512" hashValue="JpIyGgiq4ca/dNU3dFlM2F0EizJTq7RXTq8oixT8aRLLHc7ANwdQ7Xe902ZfM95RzRCH8zqlYnZ1O7nh0tHwKg==" saltValue="AKkAk4UhLAQxUDLTZMPFYA==" spinCount="100000" sheet="1" objects="1" scenarios="1"/>
  <dataConsolidate/>
  <mergeCells count="20">
    <mergeCell ref="E19:I24"/>
    <mergeCell ref="E18:I18"/>
    <mergeCell ref="N13:O14"/>
    <mergeCell ref="N16:O17"/>
    <mergeCell ref="Q10:R11"/>
    <mergeCell ref="Q13:R14"/>
    <mergeCell ref="K17:L18"/>
    <mergeCell ref="J2:L4"/>
    <mergeCell ref="N6:R6"/>
    <mergeCell ref="N8:O8"/>
    <mergeCell ref="Q8:R8"/>
    <mergeCell ref="N10:O11"/>
    <mergeCell ref="K8:L9"/>
    <mergeCell ref="H6:I7"/>
    <mergeCell ref="K6:L6"/>
    <mergeCell ref="E13:G13"/>
    <mergeCell ref="E15:G15"/>
    <mergeCell ref="E16:G16"/>
    <mergeCell ref="K14:L15"/>
    <mergeCell ref="K11:L12"/>
  </mergeCells>
  <hyperlinks>
    <hyperlink ref="H6" location="'FACTORES '!A1" display="Factores" xr:uid="{00000000-0004-0000-0000-000000000000}"/>
    <hyperlink ref="K8:L9" location="'GRÁFICO X-R'!A1" display="GRÁFICO X-R" xr:uid="{00000000-0004-0000-0000-000001000000}"/>
    <hyperlink ref="K11:L12" location="'GRÁFICO X-S'!A1" display="GRÁFICO X-S" xr:uid="{00000000-0004-0000-0000-000002000000}"/>
    <hyperlink ref="K14:L15" location="'GRÁFICO X-S (n cambiante)'!A1" display="GRÁFICO X-S (N CAMBIANTE)" xr:uid="{00000000-0004-0000-0000-000003000000}"/>
    <hyperlink ref="N10:O11" location="'GRÁFICO P'!A1" display="GRÁFICO P" xr:uid="{00000000-0004-0000-0000-000004000000}"/>
    <hyperlink ref="N13:O14" location="'GRÁFICO NP'!A1" display="GRÁFICO nP" xr:uid="{00000000-0004-0000-0000-000005000000}"/>
    <hyperlink ref="N16:O17" location="'GRÁFICO P (N CAMBIANTE)'!A1" display="GRÁFICO P (N CAMBIANTE)" xr:uid="{00000000-0004-0000-0000-000006000000}"/>
    <hyperlink ref="Q10:R11" location="'GRÁFICO C'!A1" display="GRÁFICO C" xr:uid="{00000000-0004-0000-0000-000007000000}"/>
    <hyperlink ref="Q13:R14" location="'GRÁFICO U'!A1" display="GRÁFICO U" xr:uid="{00000000-0004-0000-0000-000008000000}"/>
    <hyperlink ref="K17:L18" location="'GRÁFICO I'!A1" display="GRÁFICO X-S (N CAMBIANTE)" xr:uid="{00000000-0004-0000-0000-000009000000}"/>
  </hyperlink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7" tint="0.59999389629810485"/>
  </sheetPr>
  <dimension ref="A1:P29"/>
  <sheetViews>
    <sheetView workbookViewId="0">
      <selection activeCell="G28" sqref="G28"/>
    </sheetView>
  </sheetViews>
  <sheetFormatPr baseColWidth="10" defaultRowHeight="15"/>
  <cols>
    <col min="1" max="1" width="16.28515625" customWidth="1"/>
    <col min="2" max="2" width="20.28515625" customWidth="1"/>
    <col min="12" max="12" width="11.42578125" customWidth="1"/>
    <col min="17" max="17" width="16.7109375" customWidth="1"/>
  </cols>
  <sheetData>
    <row r="1" spans="1:16" ht="19.5" thickBot="1">
      <c r="A1" s="48" t="s">
        <v>27</v>
      </c>
      <c r="E1" s="238" t="s">
        <v>12</v>
      </c>
      <c r="F1" s="239"/>
      <c r="G1" s="239"/>
      <c r="H1" s="239"/>
      <c r="I1" s="239"/>
      <c r="J1" s="239"/>
      <c r="K1" s="240"/>
      <c r="N1" s="56" t="s">
        <v>31</v>
      </c>
      <c r="O1" s="22">
        <v>123</v>
      </c>
    </row>
    <row r="2" spans="1:16" ht="19.5" thickBot="1">
      <c r="A2" s="44" t="s">
        <v>28</v>
      </c>
      <c r="E2" s="241"/>
      <c r="F2" s="242"/>
      <c r="G2" s="242"/>
      <c r="H2" s="242"/>
      <c r="I2" s="242"/>
      <c r="J2" s="242"/>
      <c r="K2" s="243"/>
    </row>
    <row r="4" spans="1:16">
      <c r="A4" s="244" t="s">
        <v>9</v>
      </c>
      <c r="B4" s="244"/>
      <c r="C4" s="244"/>
      <c r="D4" s="244"/>
      <c r="E4" s="244"/>
      <c r="F4" s="244" t="s">
        <v>10</v>
      </c>
      <c r="G4" s="244"/>
      <c r="H4" s="244"/>
      <c r="I4" s="244"/>
      <c r="J4" s="244" t="s">
        <v>11</v>
      </c>
      <c r="K4" s="244"/>
      <c r="L4" s="244"/>
      <c r="M4" s="244"/>
      <c r="N4" s="244"/>
      <c r="O4" s="244"/>
      <c r="P4" s="4"/>
    </row>
    <row r="5" spans="1:16">
      <c r="A5" s="6" t="s">
        <v>8</v>
      </c>
      <c r="B5" s="3"/>
      <c r="C5" s="3"/>
      <c r="D5" s="3"/>
      <c r="E5" s="17"/>
      <c r="F5" s="18"/>
      <c r="G5" s="3"/>
      <c r="H5" s="3"/>
      <c r="I5" s="13"/>
      <c r="J5" s="9"/>
      <c r="K5" s="3"/>
      <c r="L5" s="3"/>
      <c r="M5" s="3"/>
      <c r="N5" s="3"/>
      <c r="O5" s="3"/>
    </row>
    <row r="6" spans="1:16">
      <c r="A6" s="7">
        <v>2</v>
      </c>
      <c r="B6" s="7">
        <v>2.121</v>
      </c>
      <c r="C6" s="7">
        <v>1.88</v>
      </c>
      <c r="D6" s="7">
        <v>2.569</v>
      </c>
      <c r="E6" s="14">
        <v>0.79790000000000005</v>
      </c>
      <c r="F6" s="10">
        <v>0</v>
      </c>
      <c r="G6" s="7">
        <v>3.2669999999999999</v>
      </c>
      <c r="H6" s="7">
        <v>0</v>
      </c>
      <c r="I6" s="14">
        <v>2.6059999999999999</v>
      </c>
      <c r="J6" s="10">
        <v>1.1279999999999999</v>
      </c>
      <c r="K6" s="7">
        <v>0.85299999999999998</v>
      </c>
      <c r="L6" s="7">
        <v>0</v>
      </c>
      <c r="M6" s="7">
        <v>3.6859999999999999</v>
      </c>
      <c r="N6" s="7">
        <v>0</v>
      </c>
      <c r="O6" s="7">
        <v>3.2669999999999999</v>
      </c>
    </row>
    <row r="7" spans="1:16">
      <c r="A7" s="7">
        <v>3</v>
      </c>
      <c r="B7" s="7">
        <v>1.732</v>
      </c>
      <c r="C7" s="7">
        <v>1.0229999999999999</v>
      </c>
      <c r="D7" s="7">
        <v>1.954</v>
      </c>
      <c r="E7" s="14">
        <v>0.88619999999999999</v>
      </c>
      <c r="F7" s="10">
        <v>0</v>
      </c>
      <c r="G7" s="7">
        <v>2.5680000000000001</v>
      </c>
      <c r="H7" s="7">
        <v>0</v>
      </c>
      <c r="I7" s="14">
        <v>2.2759999999999998</v>
      </c>
      <c r="J7" s="10">
        <v>1.6930000000000001</v>
      </c>
      <c r="K7" s="7">
        <v>0.88800000000000001</v>
      </c>
      <c r="L7" s="7">
        <v>0</v>
      </c>
      <c r="M7" s="7">
        <v>4.3579999999999997</v>
      </c>
      <c r="N7" s="7">
        <v>0</v>
      </c>
      <c r="O7" s="7">
        <v>2.5739999999999998</v>
      </c>
    </row>
    <row r="8" spans="1:16">
      <c r="A8" s="7">
        <v>4</v>
      </c>
      <c r="B8" s="7">
        <v>1.5</v>
      </c>
      <c r="C8" s="7">
        <v>0.72899999999999998</v>
      </c>
      <c r="D8" s="7">
        <v>1.6279999999999999</v>
      </c>
      <c r="E8" s="14">
        <v>0.92130000000000001</v>
      </c>
      <c r="F8" s="10">
        <v>0</v>
      </c>
      <c r="G8" s="7">
        <v>2.266</v>
      </c>
      <c r="H8" s="7">
        <v>0</v>
      </c>
      <c r="I8" s="14">
        <v>2.0880000000000001</v>
      </c>
      <c r="J8" s="10">
        <v>2.0590000000000002</v>
      </c>
      <c r="K8" s="7">
        <v>0.88</v>
      </c>
      <c r="L8" s="7">
        <v>0</v>
      </c>
      <c r="M8" s="7">
        <v>4.6980000000000004</v>
      </c>
      <c r="N8" s="7">
        <v>0</v>
      </c>
      <c r="O8" s="7">
        <v>2.282</v>
      </c>
    </row>
    <row r="9" spans="1:16">
      <c r="A9" s="7">
        <v>5</v>
      </c>
      <c r="B9" s="7">
        <v>1.3420000000000001</v>
      </c>
      <c r="C9" s="7">
        <v>0.57699999999999996</v>
      </c>
      <c r="D9" s="7">
        <v>1.427</v>
      </c>
      <c r="E9" s="14">
        <v>0.94</v>
      </c>
      <c r="F9" s="10">
        <v>0</v>
      </c>
      <c r="G9" s="7">
        <v>2.089</v>
      </c>
      <c r="H9" s="7">
        <v>0</v>
      </c>
      <c r="I9" s="14">
        <v>1.964</v>
      </c>
      <c r="J9" s="10">
        <v>2.3260000000000001</v>
      </c>
      <c r="K9" s="7">
        <v>0.86399999999999999</v>
      </c>
      <c r="L9" s="7">
        <v>0</v>
      </c>
      <c r="M9" s="7">
        <v>4.9180000000000001</v>
      </c>
      <c r="N9" s="7">
        <v>0</v>
      </c>
      <c r="O9" s="7">
        <v>2.1139999999999999</v>
      </c>
    </row>
    <row r="10" spans="1:16">
      <c r="A10" s="5">
        <v>6</v>
      </c>
      <c r="B10" s="5">
        <v>1.2250000000000001</v>
      </c>
      <c r="C10" s="5">
        <v>0.48299999999999998</v>
      </c>
      <c r="D10" s="5">
        <v>1.2869999999999999</v>
      </c>
      <c r="E10" s="15">
        <v>0.95150000000000001</v>
      </c>
      <c r="F10" s="11">
        <v>0.03</v>
      </c>
      <c r="G10" s="5">
        <v>1.97</v>
      </c>
      <c r="H10" s="5">
        <v>2.9000000000000001E-2</v>
      </c>
      <c r="I10" s="15">
        <v>1.8740000000000001</v>
      </c>
      <c r="J10" s="11">
        <v>2.5339999999999998</v>
      </c>
      <c r="K10" s="5">
        <v>0.84799999999999998</v>
      </c>
      <c r="L10" s="5">
        <v>0</v>
      </c>
      <c r="M10" s="5">
        <v>5.0780000000000003</v>
      </c>
      <c r="N10" s="5">
        <v>0</v>
      </c>
      <c r="O10" s="5">
        <v>2.004</v>
      </c>
    </row>
    <row r="11" spans="1:16">
      <c r="A11" s="5">
        <v>7</v>
      </c>
      <c r="B11" s="5">
        <v>1.1339999999999999</v>
      </c>
      <c r="C11" s="5">
        <v>0.41899999999999998</v>
      </c>
      <c r="D11" s="5">
        <v>1.1819999999999999</v>
      </c>
      <c r="E11" s="15">
        <v>0.95940000000000003</v>
      </c>
      <c r="F11" s="11">
        <v>0.11799999999999999</v>
      </c>
      <c r="G11" s="5">
        <v>1.8819999999999999</v>
      </c>
      <c r="H11" s="5">
        <v>0.113</v>
      </c>
      <c r="I11" s="15">
        <v>1.806</v>
      </c>
      <c r="J11" s="11">
        <v>2.7040000000000002</v>
      </c>
      <c r="K11" s="5">
        <v>0.83299999999999996</v>
      </c>
      <c r="L11" s="5">
        <v>0.20399999999999999</v>
      </c>
      <c r="M11" s="5">
        <v>5.2039999999999997</v>
      </c>
      <c r="N11" s="5">
        <v>7.5999999999999998E-2</v>
      </c>
      <c r="O11" s="5">
        <v>1.9239999999999999</v>
      </c>
    </row>
    <row r="12" spans="1:16">
      <c r="A12" s="5">
        <v>8</v>
      </c>
      <c r="B12" s="5">
        <v>1.0609999999999999</v>
      </c>
      <c r="C12" s="5">
        <v>0.373</v>
      </c>
      <c r="D12" s="5">
        <v>1.099</v>
      </c>
      <c r="E12" s="15">
        <v>0.96499999999999997</v>
      </c>
      <c r="F12" s="11">
        <v>0.185</v>
      </c>
      <c r="G12" s="5">
        <v>1.8149999999999999</v>
      </c>
      <c r="H12" s="5">
        <v>0.17899999999999999</v>
      </c>
      <c r="I12" s="15">
        <v>1.7509999999999999</v>
      </c>
      <c r="J12" s="11">
        <v>2.847</v>
      </c>
      <c r="K12" s="5">
        <v>0.82</v>
      </c>
      <c r="L12" s="5">
        <v>0.38800000000000001</v>
      </c>
      <c r="M12" s="5">
        <v>5.306</v>
      </c>
      <c r="N12" s="5">
        <v>0.13600000000000001</v>
      </c>
      <c r="O12" s="5">
        <v>1.8640000000000001</v>
      </c>
    </row>
    <row r="13" spans="1:16">
      <c r="A13" s="5">
        <v>9</v>
      </c>
      <c r="B13" s="5">
        <v>1</v>
      </c>
      <c r="C13" s="5">
        <v>0.33700000000000002</v>
      </c>
      <c r="D13" s="5">
        <v>1.032</v>
      </c>
      <c r="E13" s="15">
        <v>0.96899999999999997</v>
      </c>
      <c r="F13" s="11">
        <v>0.23899999999999999</v>
      </c>
      <c r="G13" s="5">
        <v>1.7609999999999999</v>
      </c>
      <c r="H13" s="5">
        <v>0.23200000000000001</v>
      </c>
      <c r="I13" s="15">
        <v>1.7070000000000001</v>
      </c>
      <c r="J13" s="11">
        <v>2.97</v>
      </c>
      <c r="K13" s="5">
        <v>0.80800000000000005</v>
      </c>
      <c r="L13" s="5">
        <v>0.54700000000000004</v>
      </c>
      <c r="M13" s="5">
        <v>5.3929999999999998</v>
      </c>
      <c r="N13" s="5">
        <v>0.184</v>
      </c>
      <c r="O13" s="5">
        <v>1.8160000000000001</v>
      </c>
    </row>
    <row r="14" spans="1:16">
      <c r="A14" s="5">
        <v>10</v>
      </c>
      <c r="B14" s="5">
        <v>0.94899999999999995</v>
      </c>
      <c r="C14" s="5">
        <v>0.308</v>
      </c>
      <c r="D14" s="5">
        <v>0.97499999999999998</v>
      </c>
      <c r="E14" s="15">
        <v>0.97270000000000001</v>
      </c>
      <c r="F14" s="11">
        <v>0.28399999999999997</v>
      </c>
      <c r="G14" s="5">
        <v>1.716</v>
      </c>
      <c r="H14" s="5">
        <v>0.27600000000000002</v>
      </c>
      <c r="I14" s="15">
        <v>1.6990000000000001</v>
      </c>
      <c r="J14" s="11">
        <v>3.0779999999999998</v>
      </c>
      <c r="K14" s="5">
        <v>0.79700000000000004</v>
      </c>
      <c r="L14" s="5">
        <v>0.68700000000000006</v>
      </c>
      <c r="M14" s="5">
        <v>5.4690000000000003</v>
      </c>
      <c r="N14" s="5">
        <v>0.223</v>
      </c>
      <c r="O14" s="5">
        <v>1.7769999999999999</v>
      </c>
    </row>
    <row r="15" spans="1:16">
      <c r="A15" s="7">
        <v>11</v>
      </c>
      <c r="B15" s="7">
        <v>0.90500000000000003</v>
      </c>
      <c r="C15" s="7">
        <v>0.28499999999999998</v>
      </c>
      <c r="D15" s="7">
        <v>0.92700000000000005</v>
      </c>
      <c r="E15" s="14">
        <v>0.97540000000000004</v>
      </c>
      <c r="F15" s="10">
        <v>0.32100000000000001</v>
      </c>
      <c r="G15" s="7">
        <v>1.679</v>
      </c>
      <c r="H15" s="7">
        <v>0.313</v>
      </c>
      <c r="I15" s="14">
        <v>1.637</v>
      </c>
      <c r="J15" s="10">
        <v>3.173</v>
      </c>
      <c r="K15" s="7">
        <v>0.78700000000000003</v>
      </c>
      <c r="L15" s="7">
        <v>0.81100000000000005</v>
      </c>
      <c r="M15" s="7">
        <v>5.5350000000000001</v>
      </c>
      <c r="N15" s="7">
        <v>0.25600000000000001</v>
      </c>
      <c r="O15" s="7">
        <v>1.744</v>
      </c>
    </row>
    <row r="16" spans="1:16">
      <c r="A16" s="7">
        <v>12</v>
      </c>
      <c r="B16" s="7">
        <v>0.86599999999999999</v>
      </c>
      <c r="C16" s="7">
        <v>0.26600000000000001</v>
      </c>
      <c r="D16" s="7">
        <v>0.88600000000000001</v>
      </c>
      <c r="E16" s="14">
        <v>0.97760000000000002</v>
      </c>
      <c r="F16" s="10">
        <v>0.35399999999999998</v>
      </c>
      <c r="G16" s="7">
        <v>1.6459999999999999</v>
      </c>
      <c r="H16" s="7">
        <v>0.34599999999999997</v>
      </c>
      <c r="I16" s="14">
        <v>1.61</v>
      </c>
      <c r="J16" s="10">
        <v>3.258</v>
      </c>
      <c r="K16" s="7">
        <v>0.77800000000000002</v>
      </c>
      <c r="L16" s="7">
        <v>0.92200000000000004</v>
      </c>
      <c r="M16" s="7">
        <v>5.5940000000000003</v>
      </c>
      <c r="N16" s="7">
        <v>0.28299999999999997</v>
      </c>
      <c r="O16" s="7">
        <v>1.7170000000000001</v>
      </c>
    </row>
    <row r="17" spans="1:15">
      <c r="A17" s="7">
        <v>13</v>
      </c>
      <c r="B17" s="7">
        <v>0.83199999999999996</v>
      </c>
      <c r="C17" s="7">
        <v>0.249</v>
      </c>
      <c r="D17" s="7">
        <v>0.85</v>
      </c>
      <c r="E17" s="14">
        <v>0.97940000000000005</v>
      </c>
      <c r="F17" s="10">
        <v>0.38200000000000001</v>
      </c>
      <c r="G17" s="7">
        <v>1.6180000000000001</v>
      </c>
      <c r="H17" s="7">
        <v>0.374</v>
      </c>
      <c r="I17" s="14">
        <v>1.585</v>
      </c>
      <c r="J17" s="10">
        <v>3.3359999999999999</v>
      </c>
      <c r="K17" s="7">
        <v>0.77</v>
      </c>
      <c r="L17" s="7">
        <v>1.0249999999999999</v>
      </c>
      <c r="M17" s="7">
        <v>5.6470000000000002</v>
      </c>
      <c r="N17" s="7">
        <v>0.307</v>
      </c>
      <c r="O17" s="7">
        <v>1.6930000000000001</v>
      </c>
    </row>
    <row r="18" spans="1:15">
      <c r="A18" s="7">
        <v>14</v>
      </c>
      <c r="B18" s="7">
        <v>0.80200000000000005</v>
      </c>
      <c r="C18" s="7">
        <v>0.23499999999999999</v>
      </c>
      <c r="D18" s="7">
        <v>0.81699999999999995</v>
      </c>
      <c r="E18" s="14">
        <v>0.98099999999999998</v>
      </c>
      <c r="F18" s="10">
        <v>0.40600000000000003</v>
      </c>
      <c r="G18" s="7">
        <v>1.5940000000000001</v>
      </c>
      <c r="H18" s="7">
        <v>0.39900000000000002</v>
      </c>
      <c r="I18" s="14">
        <v>1.5629999999999999</v>
      </c>
      <c r="J18" s="10">
        <v>3.407</v>
      </c>
      <c r="K18" s="7">
        <v>0.76300000000000001</v>
      </c>
      <c r="L18" s="7">
        <v>1.1180000000000001</v>
      </c>
      <c r="M18" s="7">
        <v>5.6959999999999997</v>
      </c>
      <c r="N18" s="7">
        <v>0.32800000000000001</v>
      </c>
      <c r="O18" s="7">
        <v>1.6719999999999999</v>
      </c>
    </row>
    <row r="19" spans="1:15">
      <c r="A19" s="7">
        <v>15</v>
      </c>
      <c r="B19" s="7">
        <v>0.77500000000000002</v>
      </c>
      <c r="C19" s="7">
        <v>0.223</v>
      </c>
      <c r="D19" s="7">
        <v>0.78900000000000003</v>
      </c>
      <c r="E19" s="14">
        <v>0.98229999999999995</v>
      </c>
      <c r="F19" s="10">
        <v>0.42799999999999999</v>
      </c>
      <c r="G19" s="7">
        <v>1.5720000000000001</v>
      </c>
      <c r="H19" s="7">
        <v>0.42099999999999999</v>
      </c>
      <c r="I19" s="14">
        <v>1.544</v>
      </c>
      <c r="J19" s="10">
        <v>3.472</v>
      </c>
      <c r="K19" s="7">
        <v>0.75600000000000001</v>
      </c>
      <c r="L19" s="7">
        <v>1.2030000000000001</v>
      </c>
      <c r="M19" s="7">
        <v>5.7409999999999997</v>
      </c>
      <c r="N19" s="7">
        <v>0.34699999999999998</v>
      </c>
      <c r="O19" s="7">
        <v>1.653</v>
      </c>
    </row>
    <row r="20" spans="1:15">
      <c r="A20" s="5">
        <v>16</v>
      </c>
      <c r="B20" s="5">
        <v>0.75</v>
      </c>
      <c r="C20" s="5">
        <v>0.21199999999999999</v>
      </c>
      <c r="D20" s="5">
        <v>0.76300000000000001</v>
      </c>
      <c r="E20" s="15">
        <v>0.98350000000000004</v>
      </c>
      <c r="F20" s="11">
        <v>0.44800000000000001</v>
      </c>
      <c r="G20" s="5">
        <v>1.552</v>
      </c>
      <c r="H20" s="5">
        <v>0.44</v>
      </c>
      <c r="I20" s="15">
        <v>1.526</v>
      </c>
      <c r="J20" s="11">
        <v>3.532</v>
      </c>
      <c r="K20" s="5">
        <v>0.75</v>
      </c>
      <c r="L20" s="5">
        <v>1.282</v>
      </c>
      <c r="M20" s="5">
        <v>5.782</v>
      </c>
      <c r="N20" s="5">
        <v>0.36299999999999999</v>
      </c>
      <c r="O20" s="5">
        <v>1.637</v>
      </c>
    </row>
    <row r="21" spans="1:15">
      <c r="A21" s="5">
        <v>17</v>
      </c>
      <c r="B21" s="5">
        <v>0.72799999999999998</v>
      </c>
      <c r="C21" s="5">
        <v>0.20300000000000001</v>
      </c>
      <c r="D21" s="5">
        <v>0.73899999999999999</v>
      </c>
      <c r="E21" s="15">
        <v>0.98450000000000004</v>
      </c>
      <c r="F21" s="11">
        <v>0.46600000000000003</v>
      </c>
      <c r="G21" s="5">
        <v>1.534</v>
      </c>
      <c r="H21" s="5">
        <v>0.45800000000000002</v>
      </c>
      <c r="I21" s="15">
        <v>1.5109999999999999</v>
      </c>
      <c r="J21" s="11">
        <v>3.5880000000000001</v>
      </c>
      <c r="K21" s="5">
        <v>0.74399999999999999</v>
      </c>
      <c r="L21" s="5">
        <v>1.3560000000000001</v>
      </c>
      <c r="M21" s="5">
        <v>5.82</v>
      </c>
      <c r="N21" s="5">
        <v>0.378</v>
      </c>
      <c r="O21" s="5">
        <v>1.6220000000000001</v>
      </c>
    </row>
    <row r="22" spans="1:15">
      <c r="A22" s="5">
        <v>18</v>
      </c>
      <c r="B22" s="5">
        <v>0.70699999999999996</v>
      </c>
      <c r="C22" s="5">
        <v>0.19400000000000001</v>
      </c>
      <c r="D22" s="5">
        <v>0.71799999999999997</v>
      </c>
      <c r="E22" s="15">
        <v>0.98540000000000005</v>
      </c>
      <c r="F22" s="11">
        <v>0.48199999999999998</v>
      </c>
      <c r="G22" s="5">
        <v>1.518</v>
      </c>
      <c r="H22" s="5">
        <v>0.47499999999999998</v>
      </c>
      <c r="I22" s="15">
        <v>1.496</v>
      </c>
      <c r="J22" s="11">
        <v>3.64</v>
      </c>
      <c r="K22" s="5">
        <v>0.73899999999999999</v>
      </c>
      <c r="L22" s="5">
        <v>1.4239999999999999</v>
      </c>
      <c r="M22" s="5">
        <v>5.8559999999999999</v>
      </c>
      <c r="N22" s="5">
        <v>0.39100000000000001</v>
      </c>
      <c r="O22" s="5">
        <v>1.6080000000000001</v>
      </c>
    </row>
    <row r="23" spans="1:15">
      <c r="A23" s="5">
        <v>19</v>
      </c>
      <c r="B23" s="5">
        <v>0.68799999999999994</v>
      </c>
      <c r="C23" s="5">
        <v>0.187</v>
      </c>
      <c r="D23" s="5">
        <v>0.69799999999999995</v>
      </c>
      <c r="E23" s="15">
        <v>0.98619999999999997</v>
      </c>
      <c r="F23" s="11">
        <v>0.497</v>
      </c>
      <c r="G23" s="5">
        <v>1.5029999999999999</v>
      </c>
      <c r="H23" s="5">
        <v>0.49</v>
      </c>
      <c r="I23" s="15">
        <v>1.4830000000000001</v>
      </c>
      <c r="J23" s="11">
        <v>3.6890000000000001</v>
      </c>
      <c r="K23" s="5">
        <v>0.73399999999999999</v>
      </c>
      <c r="L23" s="5">
        <v>1.4870000000000001</v>
      </c>
      <c r="M23" s="5">
        <v>5.891</v>
      </c>
      <c r="N23" s="5">
        <v>0.40300000000000002</v>
      </c>
      <c r="O23" s="5">
        <v>1.597</v>
      </c>
    </row>
    <row r="24" spans="1:15">
      <c r="A24" s="5">
        <v>20</v>
      </c>
      <c r="B24" s="5">
        <v>0.67100000000000004</v>
      </c>
      <c r="C24" s="5">
        <v>0.18</v>
      </c>
      <c r="D24" s="5">
        <v>0.68</v>
      </c>
      <c r="E24" s="15">
        <v>0.9869</v>
      </c>
      <c r="F24" s="11">
        <v>0.51</v>
      </c>
      <c r="G24" s="5">
        <v>1.49</v>
      </c>
      <c r="H24" s="5">
        <v>0.504</v>
      </c>
      <c r="I24" s="15">
        <v>1.47</v>
      </c>
      <c r="J24" s="11">
        <v>3.7349999999999999</v>
      </c>
      <c r="K24" s="5">
        <v>0.72899999999999998</v>
      </c>
      <c r="L24" s="5">
        <v>1.5489999999999999</v>
      </c>
      <c r="M24" s="5">
        <v>5.9210000000000003</v>
      </c>
      <c r="N24" s="5">
        <v>0.41499999999999998</v>
      </c>
      <c r="O24" s="5">
        <v>1.585</v>
      </c>
    </row>
    <row r="25" spans="1:15">
      <c r="A25" s="7">
        <v>21</v>
      </c>
      <c r="B25" s="7">
        <v>0.65500000000000003</v>
      </c>
      <c r="C25" s="7">
        <v>0.17299999999999999</v>
      </c>
      <c r="D25" s="7">
        <v>0.66300000000000003</v>
      </c>
      <c r="E25" s="14">
        <v>0.98760000000000003</v>
      </c>
      <c r="F25" s="10">
        <v>0.52300000000000002</v>
      </c>
      <c r="G25" s="7">
        <v>1.4770000000000001</v>
      </c>
      <c r="H25" s="7">
        <v>0.51600000000000001</v>
      </c>
      <c r="I25" s="14">
        <v>1.4590000000000001</v>
      </c>
      <c r="J25" s="10">
        <v>3.778</v>
      </c>
      <c r="K25" s="7">
        <v>0.72399999999999998</v>
      </c>
      <c r="L25" s="7">
        <v>1.605</v>
      </c>
      <c r="M25" s="7">
        <v>5.9509999999999996</v>
      </c>
      <c r="N25" s="7">
        <v>0.42499999999999999</v>
      </c>
      <c r="O25" s="7">
        <v>1.575</v>
      </c>
    </row>
    <row r="26" spans="1:15">
      <c r="A26" s="7">
        <v>22</v>
      </c>
      <c r="B26" s="7">
        <v>0.64</v>
      </c>
      <c r="C26" s="7">
        <v>0.16700000000000001</v>
      </c>
      <c r="D26" s="7">
        <v>0.64700000000000002</v>
      </c>
      <c r="E26" s="14">
        <v>0.98819999999999997</v>
      </c>
      <c r="F26" s="10">
        <v>0.53400000000000003</v>
      </c>
      <c r="G26" s="7">
        <v>1.466</v>
      </c>
      <c r="H26" s="7">
        <v>0.52800000000000002</v>
      </c>
      <c r="I26" s="14">
        <v>1.448</v>
      </c>
      <c r="J26" s="10">
        <v>3.819</v>
      </c>
      <c r="K26" s="7">
        <v>0.72</v>
      </c>
      <c r="L26" s="7">
        <v>1.659</v>
      </c>
      <c r="M26" s="7">
        <v>5.9790000000000001</v>
      </c>
      <c r="N26" s="7">
        <v>0.434</v>
      </c>
      <c r="O26" s="7">
        <v>1.5660000000000001</v>
      </c>
    </row>
    <row r="27" spans="1:15">
      <c r="A27" s="7">
        <v>23</v>
      </c>
      <c r="B27" s="7">
        <v>0.626</v>
      </c>
      <c r="C27" s="7">
        <v>0.16200000000000001</v>
      </c>
      <c r="D27" s="7">
        <v>0.63300000000000001</v>
      </c>
      <c r="E27" s="14">
        <v>0.98870000000000002</v>
      </c>
      <c r="F27" s="10">
        <v>0.54500000000000004</v>
      </c>
      <c r="G27" s="7">
        <v>1.4550000000000001</v>
      </c>
      <c r="H27" s="7">
        <v>0.53900000000000003</v>
      </c>
      <c r="I27" s="14">
        <v>1.4379999999999999</v>
      </c>
      <c r="J27" s="10">
        <v>3.8580000000000001</v>
      </c>
      <c r="K27" s="7">
        <v>0.71599999999999997</v>
      </c>
      <c r="L27" s="7">
        <v>1.71</v>
      </c>
      <c r="M27" s="7">
        <v>6.0060000000000002</v>
      </c>
      <c r="N27" s="7">
        <v>0.443</v>
      </c>
      <c r="O27" s="7">
        <v>1.5569999999999999</v>
      </c>
    </row>
    <row r="28" spans="1:15">
      <c r="A28" s="7">
        <v>24</v>
      </c>
      <c r="B28" s="7">
        <v>0.61199999999999999</v>
      </c>
      <c r="C28" s="7">
        <v>0.157</v>
      </c>
      <c r="D28" s="7">
        <v>0.61899999999999999</v>
      </c>
      <c r="E28" s="14">
        <v>0.98919999999999997</v>
      </c>
      <c r="F28" s="10">
        <v>0.55000000000000004</v>
      </c>
      <c r="G28" s="7">
        <v>1.4450000000000001</v>
      </c>
      <c r="H28" s="7">
        <v>0.54900000000000004</v>
      </c>
      <c r="I28" s="14">
        <v>1.429</v>
      </c>
      <c r="J28" s="10">
        <v>3.895</v>
      </c>
      <c r="K28" s="7">
        <v>0.71199999999999997</v>
      </c>
      <c r="L28" s="7">
        <v>1.7589999999999999</v>
      </c>
      <c r="M28" s="7">
        <v>6.0309999999999997</v>
      </c>
      <c r="N28" s="7">
        <v>0.45100000000000001</v>
      </c>
      <c r="O28" s="7">
        <v>1.548</v>
      </c>
    </row>
    <row r="29" spans="1:15">
      <c r="A29" s="8">
        <v>25</v>
      </c>
      <c r="B29" s="8">
        <v>0.6</v>
      </c>
      <c r="C29" s="8">
        <v>0.153</v>
      </c>
      <c r="D29" s="8">
        <v>0.60599999999999998</v>
      </c>
      <c r="E29" s="16">
        <v>0.98960000000000004</v>
      </c>
      <c r="F29" s="12">
        <v>0.56499999999999995</v>
      </c>
      <c r="G29" s="8">
        <v>1.4350000000000001</v>
      </c>
      <c r="H29" s="8">
        <v>0.55900000000000005</v>
      </c>
      <c r="I29" s="16">
        <v>1.42</v>
      </c>
      <c r="J29" s="12">
        <v>3.931</v>
      </c>
      <c r="K29" s="8">
        <v>0.70799999999999996</v>
      </c>
      <c r="L29" s="8">
        <v>1.806</v>
      </c>
      <c r="M29" s="8">
        <v>6.056</v>
      </c>
      <c r="N29" s="8">
        <v>0.45900000000000002</v>
      </c>
      <c r="O29" s="8">
        <v>1.5409999999999999</v>
      </c>
    </row>
  </sheetData>
  <sheetProtection algorithmName="SHA-512" hashValue="m275+EcxlwP/73YgJJutBJRLL9cMQv6VW244cYuI7u8LoVA7c5XUDcXXCK6Vh6ZJ6uEpGN+waObyS1QOPNeyuw==" saltValue="mni+BwSnqQcm+oVr56iaVQ==" spinCount="100000" sheet="1" objects="1" scenarios="1"/>
  <mergeCells count="4">
    <mergeCell ref="E1:K2"/>
    <mergeCell ref="A4:E4"/>
    <mergeCell ref="F4:I4"/>
    <mergeCell ref="J4:O4"/>
  </mergeCells>
  <hyperlinks>
    <hyperlink ref="A1" location="INICIO!A1" display="INICIO" xr:uid="{00000000-0004-0000-0100-000000000000}"/>
    <hyperlink ref="A2" location="'GRÁFICO X-R'!A1" display="SIGUIENTE" xr:uid="{00000000-0004-0000-0100-000001000000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9" tint="0.59999389629810485"/>
  </sheetPr>
  <dimension ref="A1:BA116"/>
  <sheetViews>
    <sheetView topLeftCell="AX1" zoomScale="166" zoomScaleNormal="166" workbookViewId="0">
      <selection activeCell="BA11" sqref="BA11"/>
    </sheetView>
  </sheetViews>
  <sheetFormatPr baseColWidth="10" defaultRowHeight="15"/>
  <cols>
    <col min="1" max="1" width="11.42578125" style="71" customWidth="1"/>
    <col min="2" max="2" width="16" style="71" customWidth="1"/>
    <col min="3" max="5" width="11.42578125" style="71"/>
    <col min="6" max="8" width="11.42578125" style="71" customWidth="1"/>
    <col min="9" max="9" width="11.42578125" style="71" hidden="1" customWidth="1"/>
    <col min="10" max="20" width="16" style="71" hidden="1" customWidth="1"/>
    <col min="21" max="26" width="11.42578125" style="71" hidden="1" customWidth="1"/>
    <col min="27" max="27" width="11.42578125" style="71"/>
    <col min="28" max="28" width="14.140625" style="71" customWidth="1"/>
    <col min="29" max="35" width="11.42578125" style="71"/>
    <col min="36" max="36" width="17.28515625" style="71" customWidth="1"/>
    <col min="37" max="38" width="11.42578125" style="71"/>
    <col min="39" max="39" width="17.7109375" style="71" customWidth="1"/>
    <col min="40" max="40" width="11.42578125" style="71" customWidth="1"/>
    <col min="41" max="41" width="14.5703125" style="71" customWidth="1"/>
    <col min="42" max="42" width="13.7109375" style="71" customWidth="1"/>
    <col min="43" max="44" width="11.42578125" style="71" customWidth="1"/>
    <col min="45" max="45" width="11.42578125" style="71"/>
    <col min="46" max="46" width="15" style="71" customWidth="1"/>
    <col min="47" max="48" width="11.42578125" style="71"/>
    <col min="49" max="49" width="16.5703125" style="71" customWidth="1"/>
    <col min="50" max="50" width="17.85546875" style="71" customWidth="1"/>
    <col min="51" max="52" width="11.42578125" style="71"/>
    <col min="53" max="53" width="15.7109375" style="71" customWidth="1"/>
    <col min="54" max="1998" width="11.42578125" style="71"/>
    <col min="1999" max="2000" width="2.7109375" style="71" customWidth="1"/>
    <col min="2001" max="2002" width="11.42578125" style="71"/>
    <col min="2003" max="2003" width="2.7109375" style="71" customWidth="1"/>
    <col min="2004" max="16384" width="11.42578125" style="71"/>
  </cols>
  <sheetData>
    <row r="1" spans="1:53" ht="15.75" thickBot="1">
      <c r="AB1" s="247" t="s">
        <v>2</v>
      </c>
      <c r="AC1" s="248"/>
      <c r="AD1" s="22"/>
      <c r="AK1" s="57"/>
      <c r="AL1" s="57"/>
      <c r="AM1" s="57"/>
      <c r="AN1" s="57"/>
      <c r="AO1" s="70"/>
      <c r="AP1" s="70"/>
      <c r="AQ1" s="70"/>
      <c r="AR1" s="70"/>
    </row>
    <row r="2" spans="1:53" ht="19.5" thickBot="1">
      <c r="B2" s="43" t="s">
        <v>27</v>
      </c>
      <c r="AB2" s="247" t="s">
        <v>3</v>
      </c>
      <c r="AC2" s="248"/>
      <c r="AD2" s="72">
        <f>COUNT(B10:Z10)</f>
        <v>7</v>
      </c>
      <c r="BA2" s="43" t="s">
        <v>27</v>
      </c>
    </row>
    <row r="3" spans="1:53" ht="24" thickBot="1">
      <c r="B3" s="46" t="s">
        <v>29</v>
      </c>
      <c r="K3" s="53"/>
      <c r="L3" s="53"/>
      <c r="M3" s="53"/>
      <c r="N3" s="53"/>
      <c r="O3" s="53"/>
      <c r="P3" s="53"/>
      <c r="Q3" s="53"/>
      <c r="R3" s="53"/>
      <c r="S3" s="53"/>
      <c r="T3" s="53"/>
      <c r="AB3" s="50" t="s">
        <v>4</v>
      </c>
      <c r="AC3" s="39" t="s">
        <v>39</v>
      </c>
      <c r="AD3" s="72">
        <f>VLOOKUP($AD$2,FACTORES,3,FALSE)</f>
        <v>0.41899999999999998</v>
      </c>
      <c r="AJ3" s="58"/>
      <c r="AK3" s="58"/>
      <c r="AM3" s="58"/>
      <c r="AN3" s="249" t="s">
        <v>30</v>
      </c>
      <c r="AO3" s="250"/>
      <c r="AP3" s="250"/>
      <c r="AQ3" s="250"/>
      <c r="AR3" s="250"/>
      <c r="AS3" s="250"/>
      <c r="AT3" s="250"/>
      <c r="AU3" s="251"/>
      <c r="BA3" s="46" t="s">
        <v>29</v>
      </c>
    </row>
    <row r="4" spans="1:53" ht="24" thickBot="1">
      <c r="B4" s="47" t="s">
        <v>28</v>
      </c>
      <c r="K4" s="53"/>
      <c r="L4" s="53"/>
      <c r="M4" s="53"/>
      <c r="N4" s="53"/>
      <c r="O4" s="53"/>
      <c r="P4" s="53"/>
      <c r="Q4" s="53"/>
      <c r="R4" s="53"/>
      <c r="S4" s="53"/>
      <c r="T4" s="53"/>
      <c r="AB4" s="51"/>
      <c r="AC4" s="39" t="s">
        <v>22</v>
      </c>
      <c r="AD4" s="72">
        <f>VLOOKUP($AD$2,FACTORES,14,FALSE)</f>
        <v>7.5999999999999998E-2</v>
      </c>
      <c r="BA4" s="47" t="s">
        <v>28</v>
      </c>
    </row>
    <row r="5" spans="1:53" ht="24" thickBot="1">
      <c r="B5" s="69" t="s">
        <v>30</v>
      </c>
      <c r="AB5" s="52"/>
      <c r="AC5" s="39" t="s">
        <v>23</v>
      </c>
      <c r="AD5" s="72">
        <f>VLOOKUP($AD$2,FACTORES,15,FALSE)</f>
        <v>1.9239999999999999</v>
      </c>
    </row>
    <row r="6" spans="1:53" ht="15.75" thickBot="1"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AK6" s="252" t="s">
        <v>34</v>
      </c>
      <c r="AL6" s="253"/>
      <c r="AM6" s="253"/>
      <c r="AN6" s="253"/>
      <c r="AO6" s="253"/>
      <c r="AP6" s="253"/>
      <c r="AQ6" s="254"/>
      <c r="AR6" s="255" t="s">
        <v>35</v>
      </c>
      <c r="AS6" s="256"/>
      <c r="AT6" s="256"/>
      <c r="AU6" s="256"/>
      <c r="AV6" s="256"/>
      <c r="AW6" s="256"/>
      <c r="AX6" s="257"/>
    </row>
    <row r="7" spans="1:53" ht="15.75" thickBot="1">
      <c r="A7" s="4"/>
      <c r="B7" s="258" t="s">
        <v>1</v>
      </c>
      <c r="C7" s="259"/>
      <c r="D7" s="259"/>
      <c r="E7" s="259"/>
      <c r="F7" s="259"/>
      <c r="G7" s="259"/>
      <c r="H7" s="259"/>
      <c r="I7" s="259"/>
      <c r="J7" s="259"/>
      <c r="K7" s="259"/>
      <c r="L7" s="259"/>
      <c r="M7" s="259"/>
      <c r="N7" s="259"/>
      <c r="O7" s="259"/>
      <c r="P7" s="259"/>
      <c r="Q7" s="259"/>
      <c r="R7" s="259"/>
      <c r="S7" s="259"/>
      <c r="T7" s="259"/>
      <c r="U7" s="259"/>
      <c r="V7" s="259"/>
      <c r="W7" s="259"/>
      <c r="X7" s="259"/>
      <c r="Y7" s="260"/>
      <c r="Z7" s="261"/>
      <c r="AA7" s="262" t="s">
        <v>14</v>
      </c>
      <c r="AB7" s="262"/>
      <c r="AC7" s="262"/>
      <c r="AD7" s="263"/>
      <c r="AE7" s="264" t="s">
        <v>18</v>
      </c>
      <c r="AF7" s="262"/>
      <c r="AG7" s="262"/>
      <c r="AH7" s="265"/>
      <c r="AK7" s="64"/>
      <c r="AL7" s="4"/>
      <c r="AM7" s="4"/>
      <c r="AN7" s="4"/>
      <c r="AO7" s="4"/>
      <c r="AP7" s="4"/>
      <c r="AQ7" s="65"/>
      <c r="AR7" s="64"/>
      <c r="AS7" s="4"/>
      <c r="AT7" s="4"/>
      <c r="AU7" s="4"/>
      <c r="AV7" s="4"/>
      <c r="AW7" s="4"/>
      <c r="AX7" s="65"/>
    </row>
    <row r="8" spans="1:53" ht="15.75" thickBot="1">
      <c r="A8" s="35" t="s">
        <v>0</v>
      </c>
      <c r="B8" s="83">
        <v>1</v>
      </c>
      <c r="C8" s="6">
        <v>2</v>
      </c>
      <c r="D8" s="6">
        <v>3</v>
      </c>
      <c r="E8" s="6">
        <v>4</v>
      </c>
      <c r="F8" s="6">
        <v>5</v>
      </c>
      <c r="G8" s="6">
        <v>6</v>
      </c>
      <c r="H8" s="6">
        <v>7</v>
      </c>
      <c r="I8" s="37">
        <v>8</v>
      </c>
      <c r="J8" s="37">
        <v>9</v>
      </c>
      <c r="K8" s="37">
        <v>10</v>
      </c>
      <c r="L8" s="37">
        <v>11</v>
      </c>
      <c r="M8" s="37">
        <v>12</v>
      </c>
      <c r="N8" s="37">
        <v>13</v>
      </c>
      <c r="O8" s="37">
        <v>14</v>
      </c>
      <c r="P8" s="37">
        <v>15</v>
      </c>
      <c r="Q8" s="37">
        <v>16</v>
      </c>
      <c r="R8" s="37">
        <v>17</v>
      </c>
      <c r="S8" s="37">
        <v>18</v>
      </c>
      <c r="T8" s="37">
        <v>19</v>
      </c>
      <c r="U8" s="37">
        <v>20</v>
      </c>
      <c r="V8" s="37">
        <v>21</v>
      </c>
      <c r="W8" s="37">
        <v>22</v>
      </c>
      <c r="X8" s="37">
        <v>23</v>
      </c>
      <c r="Y8" s="38">
        <v>24</v>
      </c>
      <c r="Z8" s="55">
        <v>25</v>
      </c>
      <c r="AA8" s="28" t="s">
        <v>16</v>
      </c>
      <c r="AB8" s="28" t="s">
        <v>15</v>
      </c>
      <c r="AC8" s="28" t="s">
        <v>5</v>
      </c>
      <c r="AD8" s="29" t="s">
        <v>6</v>
      </c>
      <c r="AE8" s="27" t="s">
        <v>24</v>
      </c>
      <c r="AF8" s="25" t="s">
        <v>25</v>
      </c>
      <c r="AG8" s="30" t="s">
        <v>5</v>
      </c>
      <c r="AH8" s="31" t="s">
        <v>6</v>
      </c>
      <c r="AK8" s="64"/>
      <c r="AL8" s="245" t="s">
        <v>33</v>
      </c>
      <c r="AM8" s="246"/>
      <c r="AN8" s="4"/>
      <c r="AO8" s="245" t="s">
        <v>36</v>
      </c>
      <c r="AP8" s="246"/>
      <c r="AQ8" s="65"/>
      <c r="AR8" s="64"/>
      <c r="AS8" s="245" t="s">
        <v>33</v>
      </c>
      <c r="AT8" s="246"/>
      <c r="AU8" s="4"/>
      <c r="AV8" s="245" t="s">
        <v>36</v>
      </c>
      <c r="AW8" s="246"/>
      <c r="AX8" s="65"/>
    </row>
    <row r="9" spans="1:53" ht="15.75" thickBot="1">
      <c r="A9" s="80">
        <v>1</v>
      </c>
      <c r="B9" s="72">
        <v>2.2999999999999998</v>
      </c>
      <c r="C9" s="72">
        <v>2.7</v>
      </c>
      <c r="D9" s="72">
        <v>2.6</v>
      </c>
      <c r="E9" s="72">
        <v>2.6</v>
      </c>
      <c r="F9" s="72">
        <v>2.4</v>
      </c>
      <c r="G9" s="72">
        <v>2.5</v>
      </c>
      <c r="H9" s="72">
        <v>2.4</v>
      </c>
      <c r="I9" s="81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6"/>
      <c r="Z9" s="23"/>
      <c r="AA9" s="54">
        <f>IF(SUM(B9:Z9)&gt;0,AVERAGE(B9:Z9),"")</f>
        <v>2.5</v>
      </c>
      <c r="AB9" s="32">
        <f>IF(SUM(B9:Z9)&gt;0,AVERAGE($AA$9:$AA$116),"")</f>
        <v>2.5385714285714287</v>
      </c>
      <c r="AC9" s="32">
        <f>IF(SUM(B9:Z9)&gt;0,AB9+$AD$3*AF9,"")</f>
        <v>2.655891428571429</v>
      </c>
      <c r="AD9" s="32">
        <f>IF(SUM(B9:Z9)&gt;0,AB9-($AD$3*AF9),"")</f>
        <v>2.4212514285714284</v>
      </c>
      <c r="AE9" s="32">
        <f>IF(SUM(B9:Z9)&gt;0,MAX(B9:Z9)-MIN(B9:Z9),"")</f>
        <v>0.40000000000000036</v>
      </c>
      <c r="AF9" s="33">
        <f>IF(SUM(B9:Z9)&gt;0,AVERAGE($AE$9:$AE$116),"")</f>
        <v>0.28000000000000025</v>
      </c>
      <c r="AG9" s="34">
        <f>IF(SUM(B9:Z9)&gt;0,$AD$5*AF9,"")</f>
        <v>0.53872000000000042</v>
      </c>
      <c r="AH9" s="34">
        <f>IF(SUM(B9:Z9)&gt;0,$AD$4*AF9,"")</f>
        <v>2.1280000000000018E-2</v>
      </c>
      <c r="AK9" s="64"/>
      <c r="AL9" s="63" t="s">
        <v>5</v>
      </c>
      <c r="AM9" s="59">
        <f>COUNTIF($AA$9:$AA$116,"&gt;"&amp;$AC$9)</f>
        <v>0</v>
      </c>
      <c r="AN9" s="4"/>
      <c r="AO9" s="63" t="s">
        <v>37</v>
      </c>
      <c r="AP9" s="59">
        <f>COUNTIF($AA$9:$AA$116,"&gt;"&amp;$AB$9)</f>
        <v>6</v>
      </c>
      <c r="AQ9" s="65"/>
      <c r="AR9" s="64"/>
      <c r="AS9" s="63" t="s">
        <v>5</v>
      </c>
      <c r="AT9" s="61">
        <f>COUNTIF($AE$9:$AE$116,"&gt;"&amp;$AG$9)</f>
        <v>0</v>
      </c>
      <c r="AU9" s="4"/>
      <c r="AV9" s="63" t="s">
        <v>5</v>
      </c>
      <c r="AW9" s="61">
        <f>COUNTIF($AE$9:$AE$116,"&gt;"&amp;$AF$9)</f>
        <v>6</v>
      </c>
      <c r="AX9" s="65"/>
    </row>
    <row r="10" spans="1:53" ht="15.75" thickBot="1">
      <c r="A10" s="80">
        <v>2</v>
      </c>
      <c r="B10" s="72">
        <v>2.5</v>
      </c>
      <c r="C10" s="72">
        <v>2.5</v>
      </c>
      <c r="D10" s="72">
        <v>2.6</v>
      </c>
      <c r="E10" s="72">
        <v>2.4</v>
      </c>
      <c r="F10" s="72">
        <v>2.7</v>
      </c>
      <c r="G10" s="72">
        <v>2.5</v>
      </c>
      <c r="H10" s="72">
        <v>2.6</v>
      </c>
      <c r="I10" s="82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54">
        <f t="shared" ref="AA10:AA40" si="0">IF(SUM(B10:Z10)&gt;0,AVERAGE(B10:Z10),"")</f>
        <v>2.5428571428571431</v>
      </c>
      <c r="AB10" s="32">
        <f t="shared" ref="AB10:AB40" si="1">IF(SUM(B10:Z10)&gt;0,AVERAGE($AA$9:$AA$116),"")</f>
        <v>2.5385714285714287</v>
      </c>
      <c r="AC10" s="32">
        <f>IF(SUM(B10:Z10)&gt;0,AB10+$AD$3*AF10,"")</f>
        <v>2.655891428571429</v>
      </c>
      <c r="AD10" s="32">
        <f t="shared" ref="AD10:AD73" si="2">IF(SUM(B10:Z10)&gt;0,AB10-($AD$3*AF10),"")</f>
        <v>2.4212514285714284</v>
      </c>
      <c r="AE10" s="32">
        <f t="shared" ref="AE10:AE73" si="3">IF(SUM(B10:Z10)&gt;0,MAX(B10:Z10)-MIN(B10:Z10),"")</f>
        <v>0.30000000000000027</v>
      </c>
      <c r="AF10" s="33">
        <f t="shared" ref="AF10:AF73" si="4">IF(SUM(B10:Z10)&gt;0,AVERAGE($AE$9:$AE$116),"")</f>
        <v>0.28000000000000025</v>
      </c>
      <c r="AG10" s="34">
        <f t="shared" ref="AG10:AG73" si="5">IF(SUM(B10:Z10)&gt;0,$AD$5*AF10,"")</f>
        <v>0.53872000000000042</v>
      </c>
      <c r="AH10" s="34">
        <f>IF(SUM(B10:Z10)&gt;0,$AD$4*AF10,"")</f>
        <v>2.1280000000000018E-2</v>
      </c>
      <c r="AK10" s="64"/>
      <c r="AL10" s="62" t="s">
        <v>6</v>
      </c>
      <c r="AM10" s="60">
        <f>COUNTIF($AA$9:$AA$116,"&lt;"&amp;$AD$9)</f>
        <v>0</v>
      </c>
      <c r="AN10" s="4"/>
      <c r="AO10" s="63" t="s">
        <v>38</v>
      </c>
      <c r="AP10" s="60">
        <f>COUNTIF($AA$9:$AA$116,"&lt;"&amp;$AB$10)</f>
        <v>4</v>
      </c>
      <c r="AQ10" s="65"/>
      <c r="AR10" s="64"/>
      <c r="AS10" s="63" t="s">
        <v>6</v>
      </c>
      <c r="AT10" s="62">
        <f>COUNTIF($AE$9:$AE$116,"&lt;"&amp;$AH$9)</f>
        <v>0</v>
      </c>
      <c r="AU10" s="4"/>
      <c r="AV10" s="63" t="s">
        <v>6</v>
      </c>
      <c r="AW10" s="62">
        <f>COUNTIF($AE$9:$AE$116,"&lt;"&amp;$AF$9)</f>
        <v>4</v>
      </c>
      <c r="AX10" s="65"/>
    </row>
    <row r="11" spans="1:53" ht="15.75" thickBot="1">
      <c r="A11" s="80">
        <v>3</v>
      </c>
      <c r="B11" s="72">
        <v>2.6</v>
      </c>
      <c r="C11" s="72">
        <v>2.5</v>
      </c>
      <c r="D11" s="72">
        <v>2.6</v>
      </c>
      <c r="E11" s="72">
        <v>2.7</v>
      </c>
      <c r="F11" s="72">
        <v>2.6</v>
      </c>
      <c r="G11" s="72">
        <v>2.5</v>
      </c>
      <c r="H11" s="72">
        <v>2.5</v>
      </c>
      <c r="I11" s="82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54">
        <f t="shared" si="0"/>
        <v>2.5714285714285716</v>
      </c>
      <c r="AB11" s="32">
        <f t="shared" si="1"/>
        <v>2.5385714285714287</v>
      </c>
      <c r="AC11" s="32">
        <f t="shared" ref="AC11:AC73" si="6">IF(SUM(B11:Z11)&gt;0,AB11+$AD$3*AF11,"")</f>
        <v>2.655891428571429</v>
      </c>
      <c r="AD11" s="32">
        <f t="shared" si="2"/>
        <v>2.4212514285714284</v>
      </c>
      <c r="AE11" s="32">
        <f t="shared" si="3"/>
        <v>0.20000000000000018</v>
      </c>
      <c r="AF11" s="33">
        <f t="shared" si="4"/>
        <v>0.28000000000000025</v>
      </c>
      <c r="AG11" s="34">
        <f t="shared" si="5"/>
        <v>0.53872000000000042</v>
      </c>
      <c r="AH11" s="34">
        <f t="shared" ref="AH11:AH40" si="7">IF(SUM(B11:Z11)&gt;0,$AD$4*AF11,"")</f>
        <v>2.1280000000000018E-2</v>
      </c>
      <c r="AK11" s="64"/>
      <c r="AL11" s="4"/>
      <c r="AM11" s="4"/>
      <c r="AN11" s="4"/>
      <c r="AO11" s="4"/>
      <c r="AP11" s="4"/>
      <c r="AQ11" s="65"/>
      <c r="AR11" s="64"/>
      <c r="AS11" s="4"/>
      <c r="AT11" s="4"/>
      <c r="AU11" s="4"/>
      <c r="AV11" s="4"/>
      <c r="AW11" s="4"/>
      <c r="AX11" s="65"/>
    </row>
    <row r="12" spans="1:53" ht="15.75" thickBot="1">
      <c r="A12" s="80">
        <v>4</v>
      </c>
      <c r="B12" s="72">
        <v>2.4</v>
      </c>
      <c r="C12" s="72">
        <v>2.6</v>
      </c>
      <c r="D12" s="72">
        <v>2.5</v>
      </c>
      <c r="E12" s="72">
        <v>2.5</v>
      </c>
      <c r="F12" s="72">
        <v>2.6</v>
      </c>
      <c r="G12" s="72">
        <v>2.6</v>
      </c>
      <c r="H12" s="72">
        <v>2.5</v>
      </c>
      <c r="I12" s="82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54">
        <f t="shared" si="0"/>
        <v>2.5285714285714285</v>
      </c>
      <c r="AB12" s="32">
        <f t="shared" si="1"/>
        <v>2.5385714285714287</v>
      </c>
      <c r="AC12" s="32">
        <f t="shared" si="6"/>
        <v>2.655891428571429</v>
      </c>
      <c r="AD12" s="32">
        <f t="shared" si="2"/>
        <v>2.4212514285714284</v>
      </c>
      <c r="AE12" s="32">
        <f t="shared" si="3"/>
        <v>0.20000000000000018</v>
      </c>
      <c r="AF12" s="33">
        <f t="shared" si="4"/>
        <v>0.28000000000000025</v>
      </c>
      <c r="AG12" s="34">
        <f t="shared" si="5"/>
        <v>0.53872000000000042</v>
      </c>
      <c r="AH12" s="34">
        <f t="shared" si="7"/>
        <v>2.1280000000000018E-2</v>
      </c>
      <c r="AK12" s="64"/>
      <c r="AL12" s="4"/>
      <c r="AM12" s="4"/>
      <c r="AN12" s="4"/>
      <c r="AO12" s="88" t="s">
        <v>42</v>
      </c>
      <c r="AP12" s="89">
        <f>SUM(AP9:AP10)</f>
        <v>10</v>
      </c>
      <c r="AQ12" s="65"/>
      <c r="AR12" s="64"/>
      <c r="AS12" s="4"/>
      <c r="AT12" s="4"/>
      <c r="AU12" s="4"/>
      <c r="AV12" s="88" t="s">
        <v>42</v>
      </c>
      <c r="AW12" s="89">
        <f>SUM(AW9:AW10)</f>
        <v>10</v>
      </c>
      <c r="AX12" s="65"/>
    </row>
    <row r="13" spans="1:53" ht="15.75" thickBot="1">
      <c r="A13" s="80">
        <v>5</v>
      </c>
      <c r="B13" s="72">
        <v>2.4</v>
      </c>
      <c r="C13" s="72">
        <v>2.6</v>
      </c>
      <c r="D13" s="72">
        <v>2.5</v>
      </c>
      <c r="E13" s="72">
        <v>2.5</v>
      </c>
      <c r="F13" s="72">
        <v>2.5</v>
      </c>
      <c r="G13" s="72">
        <v>2.5</v>
      </c>
      <c r="H13" s="72">
        <v>2.4</v>
      </c>
      <c r="I13" s="82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54">
        <f t="shared" si="0"/>
        <v>2.4857142857142853</v>
      </c>
      <c r="AB13" s="32">
        <f t="shared" si="1"/>
        <v>2.5385714285714287</v>
      </c>
      <c r="AC13" s="32">
        <f t="shared" si="6"/>
        <v>2.655891428571429</v>
      </c>
      <c r="AD13" s="32">
        <f t="shared" si="2"/>
        <v>2.4212514285714284</v>
      </c>
      <c r="AE13" s="32">
        <f t="shared" si="3"/>
        <v>0.20000000000000018</v>
      </c>
      <c r="AF13" s="33">
        <f t="shared" si="4"/>
        <v>0.28000000000000025</v>
      </c>
      <c r="AG13" s="34">
        <f t="shared" si="5"/>
        <v>0.53872000000000042</v>
      </c>
      <c r="AH13" s="34">
        <f t="shared" si="7"/>
        <v>2.1280000000000018E-2</v>
      </c>
      <c r="AK13" s="64"/>
      <c r="AL13" s="4"/>
      <c r="AM13" s="4"/>
      <c r="AN13" s="4"/>
      <c r="AO13" s="4"/>
      <c r="AP13" s="4"/>
      <c r="AQ13" s="65"/>
      <c r="AR13" s="64"/>
      <c r="AS13" s="4"/>
      <c r="AT13" s="4"/>
      <c r="AU13" s="4"/>
      <c r="AV13" s="4"/>
      <c r="AW13" s="4"/>
      <c r="AX13" s="65"/>
    </row>
    <row r="14" spans="1:53" ht="15.75" thickBot="1">
      <c r="A14" s="80">
        <v>6</v>
      </c>
      <c r="B14" s="72">
        <v>2.6</v>
      </c>
      <c r="C14" s="72">
        <v>2.4</v>
      </c>
      <c r="D14" s="72">
        <v>2.6</v>
      </c>
      <c r="E14" s="72">
        <v>2.7</v>
      </c>
      <c r="F14" s="72">
        <v>2.5</v>
      </c>
      <c r="G14" s="72">
        <v>2.7</v>
      </c>
      <c r="H14" s="72">
        <v>2.4</v>
      </c>
      <c r="I14" s="82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54">
        <f t="shared" si="0"/>
        <v>2.5571428571428569</v>
      </c>
      <c r="AB14" s="32">
        <f t="shared" si="1"/>
        <v>2.5385714285714287</v>
      </c>
      <c r="AC14" s="32">
        <f t="shared" si="6"/>
        <v>2.655891428571429</v>
      </c>
      <c r="AD14" s="32">
        <f t="shared" si="2"/>
        <v>2.4212514285714284</v>
      </c>
      <c r="AE14" s="32">
        <f t="shared" si="3"/>
        <v>0.30000000000000027</v>
      </c>
      <c r="AF14" s="33">
        <f t="shared" si="4"/>
        <v>0.28000000000000025</v>
      </c>
      <c r="AG14" s="34">
        <f t="shared" si="5"/>
        <v>0.53872000000000042</v>
      </c>
      <c r="AH14" s="34">
        <f t="shared" si="7"/>
        <v>2.1280000000000018E-2</v>
      </c>
      <c r="AK14" s="64"/>
      <c r="AL14" s="4"/>
      <c r="AM14" s="4"/>
      <c r="AN14" s="4"/>
      <c r="AO14" s="4"/>
      <c r="AP14" s="4"/>
      <c r="AQ14" s="65"/>
      <c r="AR14" s="64"/>
      <c r="AS14" s="4"/>
      <c r="AT14" s="4"/>
      <c r="AU14" s="4"/>
      <c r="AV14" s="4"/>
      <c r="AW14" s="4"/>
      <c r="AX14" s="65"/>
    </row>
    <row r="15" spans="1:53" ht="15.75" thickBot="1">
      <c r="A15" s="80">
        <v>7</v>
      </c>
      <c r="B15" s="72">
        <v>2.5</v>
      </c>
      <c r="C15" s="72">
        <v>2.6</v>
      </c>
      <c r="D15" s="72">
        <v>2.7</v>
      </c>
      <c r="E15" s="72">
        <v>2.5</v>
      </c>
      <c r="F15" s="72">
        <v>2.7</v>
      </c>
      <c r="G15" s="72">
        <v>2.2999999999999998</v>
      </c>
      <c r="H15" s="72">
        <v>2.5</v>
      </c>
      <c r="I15" s="82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54">
        <f t="shared" si="0"/>
        <v>2.5428571428571431</v>
      </c>
      <c r="AB15" s="32">
        <f t="shared" si="1"/>
        <v>2.5385714285714287</v>
      </c>
      <c r="AC15" s="32">
        <f t="shared" si="6"/>
        <v>2.655891428571429</v>
      </c>
      <c r="AD15" s="32">
        <f t="shared" si="2"/>
        <v>2.4212514285714284</v>
      </c>
      <c r="AE15" s="32">
        <f t="shared" si="3"/>
        <v>0.40000000000000036</v>
      </c>
      <c r="AF15" s="33">
        <f t="shared" si="4"/>
        <v>0.28000000000000025</v>
      </c>
      <c r="AG15" s="34">
        <f t="shared" si="5"/>
        <v>0.53872000000000042</v>
      </c>
      <c r="AH15" s="34">
        <f t="shared" si="7"/>
        <v>2.1280000000000018E-2</v>
      </c>
      <c r="AK15" s="64"/>
      <c r="AL15" s="4"/>
      <c r="AM15" s="4"/>
      <c r="AN15" s="4"/>
      <c r="AO15" s="4"/>
      <c r="AP15" s="4"/>
      <c r="AQ15" s="65"/>
      <c r="AR15" s="64"/>
      <c r="AS15" s="4"/>
      <c r="AT15" s="4"/>
      <c r="AU15" s="4"/>
      <c r="AV15" s="4"/>
      <c r="AW15" s="4"/>
      <c r="AX15" s="65"/>
    </row>
    <row r="16" spans="1:53" ht="15.75" thickBot="1">
      <c r="A16" s="80">
        <v>8</v>
      </c>
      <c r="B16" s="72">
        <v>2.5</v>
      </c>
      <c r="C16" s="72">
        <v>2.7</v>
      </c>
      <c r="D16" s="72">
        <v>2.5</v>
      </c>
      <c r="E16" s="72">
        <v>2.5</v>
      </c>
      <c r="F16" s="72">
        <v>2.4</v>
      </c>
      <c r="G16" s="72">
        <v>2.6</v>
      </c>
      <c r="H16" s="72">
        <v>2.6</v>
      </c>
      <c r="I16" s="82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54">
        <f t="shared" si="0"/>
        <v>2.5428571428571431</v>
      </c>
      <c r="AB16" s="32">
        <f t="shared" si="1"/>
        <v>2.5385714285714287</v>
      </c>
      <c r="AC16" s="32">
        <f t="shared" si="6"/>
        <v>2.655891428571429</v>
      </c>
      <c r="AD16" s="32">
        <f t="shared" si="2"/>
        <v>2.4212514285714284</v>
      </c>
      <c r="AE16" s="32">
        <f t="shared" si="3"/>
        <v>0.30000000000000027</v>
      </c>
      <c r="AF16" s="33">
        <f t="shared" si="4"/>
        <v>0.28000000000000025</v>
      </c>
      <c r="AG16" s="34">
        <f t="shared" si="5"/>
        <v>0.53872000000000042</v>
      </c>
      <c r="AH16" s="34">
        <f t="shared" si="7"/>
        <v>2.1280000000000018E-2</v>
      </c>
      <c r="AK16" s="64"/>
      <c r="AL16" s="4"/>
      <c r="AM16" s="4"/>
      <c r="AN16" s="4"/>
      <c r="AO16" s="4"/>
      <c r="AP16" s="4"/>
      <c r="AQ16" s="65"/>
      <c r="AR16" s="64"/>
      <c r="AS16" s="4"/>
      <c r="AT16" s="4"/>
      <c r="AU16" s="4"/>
      <c r="AV16" s="4"/>
      <c r="AW16" s="4"/>
      <c r="AX16" s="65"/>
    </row>
    <row r="17" spans="1:50" ht="15.75" thickBot="1">
      <c r="A17" s="80">
        <v>9</v>
      </c>
      <c r="B17" s="72">
        <v>2.4</v>
      </c>
      <c r="C17" s="72">
        <v>2.6</v>
      </c>
      <c r="D17" s="72">
        <v>2.5</v>
      </c>
      <c r="E17" s="72">
        <v>2.4</v>
      </c>
      <c r="F17" s="72">
        <v>2.5</v>
      </c>
      <c r="G17" s="72">
        <v>2.6</v>
      </c>
      <c r="H17" s="72">
        <v>2.7</v>
      </c>
      <c r="I17" s="82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54">
        <f t="shared" si="0"/>
        <v>2.5285714285714285</v>
      </c>
      <c r="AB17" s="32">
        <f t="shared" si="1"/>
        <v>2.5385714285714287</v>
      </c>
      <c r="AC17" s="32">
        <f t="shared" si="6"/>
        <v>2.655891428571429</v>
      </c>
      <c r="AD17" s="32">
        <f t="shared" si="2"/>
        <v>2.4212514285714284</v>
      </c>
      <c r="AE17" s="32">
        <f t="shared" si="3"/>
        <v>0.30000000000000027</v>
      </c>
      <c r="AF17" s="33">
        <f t="shared" si="4"/>
        <v>0.28000000000000025</v>
      </c>
      <c r="AG17" s="34">
        <f t="shared" si="5"/>
        <v>0.53872000000000042</v>
      </c>
      <c r="AH17" s="34">
        <f t="shared" si="7"/>
        <v>2.1280000000000018E-2</v>
      </c>
      <c r="AK17" s="64"/>
      <c r="AL17" s="4"/>
      <c r="AM17" s="4"/>
      <c r="AN17" s="4"/>
      <c r="AO17" s="4"/>
      <c r="AP17" s="4"/>
      <c r="AQ17" s="65"/>
      <c r="AR17" s="64"/>
      <c r="AS17" s="4"/>
      <c r="AT17" s="4"/>
      <c r="AU17" s="4"/>
      <c r="AV17" s="4"/>
      <c r="AW17" s="4"/>
      <c r="AX17" s="65"/>
    </row>
    <row r="18" spans="1:50" ht="15.75" thickBot="1">
      <c r="A18" s="80">
        <v>10</v>
      </c>
      <c r="B18" s="72">
        <v>2.6</v>
      </c>
      <c r="C18" s="72">
        <v>2.7</v>
      </c>
      <c r="D18" s="72">
        <v>2.5</v>
      </c>
      <c r="E18" s="72">
        <v>2.5</v>
      </c>
      <c r="F18" s="72">
        <v>2.6</v>
      </c>
      <c r="G18" s="72">
        <v>2.6</v>
      </c>
      <c r="H18" s="72">
        <v>2.6</v>
      </c>
      <c r="I18" s="82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54">
        <f t="shared" si="0"/>
        <v>2.5857142857142859</v>
      </c>
      <c r="AB18" s="32">
        <f t="shared" si="1"/>
        <v>2.5385714285714287</v>
      </c>
      <c r="AC18" s="32">
        <f t="shared" si="6"/>
        <v>2.655891428571429</v>
      </c>
      <c r="AD18" s="32">
        <f t="shared" si="2"/>
        <v>2.4212514285714284</v>
      </c>
      <c r="AE18" s="32">
        <f t="shared" si="3"/>
        <v>0.20000000000000018</v>
      </c>
      <c r="AF18" s="33">
        <f t="shared" si="4"/>
        <v>0.28000000000000025</v>
      </c>
      <c r="AG18" s="34">
        <f t="shared" si="5"/>
        <v>0.53872000000000042</v>
      </c>
      <c r="AH18" s="34">
        <f t="shared" si="7"/>
        <v>2.1280000000000018E-2</v>
      </c>
      <c r="AK18" s="64"/>
      <c r="AL18" s="4"/>
      <c r="AM18" s="4"/>
      <c r="AN18" s="4"/>
      <c r="AO18" s="4"/>
      <c r="AP18" s="4"/>
      <c r="AQ18" s="65"/>
      <c r="AR18" s="64"/>
      <c r="AS18" s="4"/>
      <c r="AT18" s="4"/>
      <c r="AU18" s="4"/>
      <c r="AV18" s="4"/>
      <c r="AW18" s="4"/>
      <c r="AX18" s="65"/>
    </row>
    <row r="19" spans="1:50" ht="15.75" thickBot="1">
      <c r="A19" s="80"/>
      <c r="B19" s="24"/>
      <c r="C19" s="24"/>
      <c r="D19" s="24"/>
      <c r="E19" s="24"/>
      <c r="F19" s="24"/>
      <c r="G19" s="24"/>
      <c r="H19" s="24"/>
      <c r="I19" s="82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54" t="str">
        <f t="shared" si="0"/>
        <v/>
      </c>
      <c r="AB19" s="32" t="str">
        <f t="shared" si="1"/>
        <v/>
      </c>
      <c r="AC19" s="32" t="str">
        <f t="shared" si="6"/>
        <v/>
      </c>
      <c r="AD19" s="32" t="str">
        <f t="shared" si="2"/>
        <v/>
      </c>
      <c r="AE19" s="32" t="str">
        <f t="shared" si="3"/>
        <v/>
      </c>
      <c r="AF19" s="33" t="str">
        <f t="shared" si="4"/>
        <v/>
      </c>
      <c r="AG19" s="34" t="str">
        <f t="shared" si="5"/>
        <v/>
      </c>
      <c r="AH19" s="34" t="str">
        <f t="shared" si="7"/>
        <v/>
      </c>
      <c r="AK19" s="64"/>
      <c r="AL19" s="4"/>
      <c r="AM19" s="4"/>
      <c r="AN19" s="4"/>
      <c r="AO19" s="4"/>
      <c r="AP19" s="4"/>
      <c r="AQ19" s="65"/>
      <c r="AR19" s="64"/>
      <c r="AS19" s="4"/>
      <c r="AT19" s="4"/>
      <c r="AU19" s="4"/>
      <c r="AV19" s="4"/>
      <c r="AW19" s="4"/>
      <c r="AX19" s="65"/>
    </row>
    <row r="20" spans="1:50" ht="15.75" thickBot="1">
      <c r="A20" s="2"/>
      <c r="B20" s="23"/>
      <c r="C20" s="23"/>
      <c r="D20" s="23"/>
      <c r="E20" s="23"/>
      <c r="F20" s="23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54" t="str">
        <f t="shared" si="0"/>
        <v/>
      </c>
      <c r="AB20" s="32" t="str">
        <f t="shared" si="1"/>
        <v/>
      </c>
      <c r="AC20" s="32" t="str">
        <f t="shared" si="6"/>
        <v/>
      </c>
      <c r="AD20" s="32" t="str">
        <f t="shared" si="2"/>
        <v/>
      </c>
      <c r="AE20" s="32" t="str">
        <f t="shared" si="3"/>
        <v/>
      </c>
      <c r="AF20" s="33" t="str">
        <f t="shared" si="4"/>
        <v/>
      </c>
      <c r="AG20" s="34" t="str">
        <f t="shared" si="5"/>
        <v/>
      </c>
      <c r="AH20" s="34" t="str">
        <f t="shared" si="7"/>
        <v/>
      </c>
      <c r="AK20" s="64"/>
      <c r="AL20" s="4"/>
      <c r="AM20" s="4"/>
      <c r="AN20" s="4"/>
      <c r="AO20" s="4"/>
      <c r="AP20" s="4"/>
      <c r="AQ20" s="65"/>
      <c r="AR20" s="64"/>
      <c r="AS20" s="4"/>
      <c r="AT20" s="4"/>
      <c r="AU20" s="4"/>
      <c r="AV20" s="4"/>
      <c r="AW20" s="4"/>
      <c r="AX20" s="65"/>
    </row>
    <row r="21" spans="1:50" ht="15.75" thickBot="1">
      <c r="A21" s="2"/>
      <c r="B21" s="23"/>
      <c r="C21" s="23"/>
      <c r="D21" s="23"/>
      <c r="E21" s="23"/>
      <c r="F21" s="23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54" t="str">
        <f t="shared" si="0"/>
        <v/>
      </c>
      <c r="AB21" s="32" t="str">
        <f t="shared" si="1"/>
        <v/>
      </c>
      <c r="AC21" s="32" t="str">
        <f t="shared" si="6"/>
        <v/>
      </c>
      <c r="AD21" s="32" t="str">
        <f t="shared" si="2"/>
        <v/>
      </c>
      <c r="AE21" s="32" t="str">
        <f t="shared" si="3"/>
        <v/>
      </c>
      <c r="AF21" s="33" t="str">
        <f t="shared" si="4"/>
        <v/>
      </c>
      <c r="AG21" s="34" t="str">
        <f t="shared" si="5"/>
        <v/>
      </c>
      <c r="AH21" s="34" t="str">
        <f t="shared" si="7"/>
        <v/>
      </c>
      <c r="AK21" s="64"/>
      <c r="AL21" s="4"/>
      <c r="AM21" s="4"/>
      <c r="AN21" s="4"/>
      <c r="AO21" s="4"/>
      <c r="AP21" s="4"/>
      <c r="AQ21" s="65"/>
      <c r="AR21" s="64"/>
      <c r="AS21" s="4"/>
      <c r="AT21" s="4"/>
      <c r="AU21" s="4"/>
      <c r="AV21" s="4"/>
      <c r="AW21" s="4"/>
      <c r="AX21" s="65"/>
    </row>
    <row r="22" spans="1:50" ht="15.75" thickBot="1">
      <c r="A22" s="2"/>
      <c r="B22" s="23"/>
      <c r="C22" s="23"/>
      <c r="D22" s="23"/>
      <c r="E22" s="23"/>
      <c r="F22" s="23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54" t="str">
        <f t="shared" si="0"/>
        <v/>
      </c>
      <c r="AB22" s="32" t="str">
        <f t="shared" si="1"/>
        <v/>
      </c>
      <c r="AC22" s="32" t="str">
        <f t="shared" si="6"/>
        <v/>
      </c>
      <c r="AD22" s="32" t="str">
        <f t="shared" si="2"/>
        <v/>
      </c>
      <c r="AE22" s="32" t="str">
        <f t="shared" si="3"/>
        <v/>
      </c>
      <c r="AF22" s="33" t="str">
        <f t="shared" si="4"/>
        <v/>
      </c>
      <c r="AG22" s="34" t="str">
        <f t="shared" si="5"/>
        <v/>
      </c>
      <c r="AH22" s="34" t="str">
        <f t="shared" si="7"/>
        <v/>
      </c>
      <c r="AK22" s="64"/>
      <c r="AL22" s="4"/>
      <c r="AM22" s="4"/>
      <c r="AN22" s="4"/>
      <c r="AO22" s="4"/>
      <c r="AP22" s="4"/>
      <c r="AQ22" s="65"/>
      <c r="AR22" s="64"/>
      <c r="AS22" s="4"/>
      <c r="AT22" s="4"/>
      <c r="AU22" s="4"/>
      <c r="AV22" s="4"/>
      <c r="AW22" s="4"/>
      <c r="AX22" s="65"/>
    </row>
    <row r="23" spans="1:50" ht="15.75" thickBot="1">
      <c r="A23" s="2"/>
      <c r="B23" s="23"/>
      <c r="C23" s="23"/>
      <c r="D23" s="23"/>
      <c r="E23" s="23"/>
      <c r="F23" s="23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54" t="str">
        <f t="shared" si="0"/>
        <v/>
      </c>
      <c r="AB23" s="32" t="str">
        <f t="shared" si="1"/>
        <v/>
      </c>
      <c r="AC23" s="32" t="str">
        <f t="shared" si="6"/>
        <v/>
      </c>
      <c r="AD23" s="32" t="str">
        <f t="shared" si="2"/>
        <v/>
      </c>
      <c r="AE23" s="32" t="str">
        <f t="shared" si="3"/>
        <v/>
      </c>
      <c r="AF23" s="33" t="str">
        <f t="shared" si="4"/>
        <v/>
      </c>
      <c r="AG23" s="34" t="str">
        <f t="shared" si="5"/>
        <v/>
      </c>
      <c r="AH23" s="34" t="str">
        <f t="shared" si="7"/>
        <v/>
      </c>
      <c r="AK23" s="64"/>
      <c r="AL23" s="4"/>
      <c r="AM23" s="4"/>
      <c r="AN23" s="4"/>
      <c r="AO23" s="4"/>
      <c r="AP23" s="4"/>
      <c r="AQ23" s="65"/>
      <c r="AR23" s="64"/>
      <c r="AS23" s="4"/>
      <c r="AT23" s="4"/>
      <c r="AU23" s="4"/>
      <c r="AV23" s="4"/>
      <c r="AW23" s="4"/>
      <c r="AX23" s="65"/>
    </row>
    <row r="24" spans="1:50" ht="15.75" thickBot="1">
      <c r="A24" s="2"/>
      <c r="B24" s="23"/>
      <c r="C24" s="23"/>
      <c r="D24" s="23"/>
      <c r="E24" s="23"/>
      <c r="F24" s="23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54" t="str">
        <f t="shared" si="0"/>
        <v/>
      </c>
      <c r="AB24" s="32" t="str">
        <f t="shared" si="1"/>
        <v/>
      </c>
      <c r="AC24" s="32" t="str">
        <f t="shared" si="6"/>
        <v/>
      </c>
      <c r="AD24" s="32" t="str">
        <f t="shared" si="2"/>
        <v/>
      </c>
      <c r="AE24" s="32" t="str">
        <f t="shared" si="3"/>
        <v/>
      </c>
      <c r="AF24" s="33" t="str">
        <f t="shared" si="4"/>
        <v/>
      </c>
      <c r="AG24" s="34" t="str">
        <f t="shared" si="5"/>
        <v/>
      </c>
      <c r="AH24" s="34" t="str">
        <f t="shared" si="7"/>
        <v/>
      </c>
      <c r="AK24" s="64"/>
      <c r="AL24" s="4"/>
      <c r="AM24" s="4"/>
      <c r="AN24" s="4"/>
      <c r="AO24" s="4"/>
      <c r="AP24" s="4"/>
      <c r="AQ24" s="65"/>
      <c r="AR24" s="64"/>
      <c r="AS24" s="4"/>
      <c r="AT24" s="4"/>
      <c r="AU24" s="4"/>
      <c r="AV24" s="4"/>
      <c r="AW24" s="4"/>
      <c r="AX24" s="65"/>
    </row>
    <row r="25" spans="1:50" ht="15.75" thickBot="1">
      <c r="A25" s="2"/>
      <c r="B25" s="23"/>
      <c r="C25" s="23"/>
      <c r="D25" s="23"/>
      <c r="E25" s="23"/>
      <c r="F25" s="23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54" t="str">
        <f t="shared" si="0"/>
        <v/>
      </c>
      <c r="AB25" s="32" t="str">
        <f t="shared" si="1"/>
        <v/>
      </c>
      <c r="AC25" s="32" t="str">
        <f t="shared" si="6"/>
        <v/>
      </c>
      <c r="AD25" s="32" t="str">
        <f t="shared" si="2"/>
        <v/>
      </c>
      <c r="AE25" s="32" t="str">
        <f t="shared" si="3"/>
        <v/>
      </c>
      <c r="AF25" s="33" t="str">
        <f t="shared" si="4"/>
        <v/>
      </c>
      <c r="AG25" s="34" t="str">
        <f t="shared" si="5"/>
        <v/>
      </c>
      <c r="AH25" s="34" t="str">
        <f t="shared" si="7"/>
        <v/>
      </c>
      <c r="AK25" s="64"/>
      <c r="AL25" s="4"/>
      <c r="AM25" s="4"/>
      <c r="AN25" s="4"/>
      <c r="AO25" s="4"/>
      <c r="AP25" s="4"/>
      <c r="AQ25" s="65"/>
      <c r="AR25" s="64"/>
      <c r="AS25" s="4"/>
      <c r="AT25" s="4"/>
      <c r="AU25" s="4"/>
      <c r="AV25" s="4"/>
      <c r="AW25" s="4"/>
      <c r="AX25" s="65"/>
    </row>
    <row r="26" spans="1:50" ht="15.75" thickBot="1">
      <c r="A26" s="2"/>
      <c r="B26" s="23"/>
      <c r="C26" s="23"/>
      <c r="D26" s="23"/>
      <c r="E26" s="23"/>
      <c r="F26" s="23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54" t="str">
        <f t="shared" si="0"/>
        <v/>
      </c>
      <c r="AB26" s="32" t="str">
        <f t="shared" si="1"/>
        <v/>
      </c>
      <c r="AC26" s="32" t="str">
        <f t="shared" si="6"/>
        <v/>
      </c>
      <c r="AD26" s="32" t="str">
        <f t="shared" si="2"/>
        <v/>
      </c>
      <c r="AE26" s="32" t="str">
        <f t="shared" si="3"/>
        <v/>
      </c>
      <c r="AF26" s="33" t="str">
        <f t="shared" si="4"/>
        <v/>
      </c>
      <c r="AG26" s="34" t="str">
        <f t="shared" si="5"/>
        <v/>
      </c>
      <c r="AH26" s="34" t="str">
        <f t="shared" si="7"/>
        <v/>
      </c>
      <c r="AK26" s="64"/>
      <c r="AL26" s="4"/>
      <c r="AM26" s="4"/>
      <c r="AN26" s="4"/>
      <c r="AO26" s="4"/>
      <c r="AP26" s="4"/>
      <c r="AQ26" s="65"/>
      <c r="AR26" s="64"/>
      <c r="AS26" s="4"/>
      <c r="AT26" s="4"/>
      <c r="AU26" s="4"/>
      <c r="AV26" s="4"/>
      <c r="AW26" s="4"/>
      <c r="AX26" s="65"/>
    </row>
    <row r="27" spans="1:50" ht="15.75" thickBot="1">
      <c r="A27" s="2"/>
      <c r="B27" s="23"/>
      <c r="C27" s="23"/>
      <c r="D27" s="23"/>
      <c r="E27" s="23"/>
      <c r="F27" s="23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54" t="str">
        <f t="shared" si="0"/>
        <v/>
      </c>
      <c r="AB27" s="32" t="str">
        <f t="shared" si="1"/>
        <v/>
      </c>
      <c r="AC27" s="32" t="str">
        <f t="shared" si="6"/>
        <v/>
      </c>
      <c r="AD27" s="32" t="str">
        <f t="shared" si="2"/>
        <v/>
      </c>
      <c r="AE27" s="32" t="str">
        <f t="shared" si="3"/>
        <v/>
      </c>
      <c r="AF27" s="33" t="str">
        <f t="shared" si="4"/>
        <v/>
      </c>
      <c r="AG27" s="34" t="str">
        <f t="shared" si="5"/>
        <v/>
      </c>
      <c r="AH27" s="34" t="str">
        <f t="shared" si="7"/>
        <v/>
      </c>
      <c r="AK27" s="64"/>
      <c r="AL27" s="4"/>
      <c r="AM27" s="4"/>
      <c r="AN27" s="4"/>
      <c r="AO27" s="4"/>
      <c r="AP27" s="4"/>
      <c r="AQ27" s="65"/>
      <c r="AR27" s="64"/>
      <c r="AS27" s="4"/>
      <c r="AT27" s="4"/>
      <c r="AU27" s="4"/>
      <c r="AV27" s="4"/>
      <c r="AW27" s="4"/>
      <c r="AX27" s="65"/>
    </row>
    <row r="28" spans="1:50" ht="15.75" thickBot="1">
      <c r="A28" s="2"/>
      <c r="B28" s="23"/>
      <c r="C28" s="23"/>
      <c r="D28" s="23"/>
      <c r="E28" s="23"/>
      <c r="F28" s="23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54" t="str">
        <f t="shared" si="0"/>
        <v/>
      </c>
      <c r="AB28" s="32" t="str">
        <f t="shared" si="1"/>
        <v/>
      </c>
      <c r="AC28" s="32" t="str">
        <f t="shared" si="6"/>
        <v/>
      </c>
      <c r="AD28" s="32" t="str">
        <f t="shared" si="2"/>
        <v/>
      </c>
      <c r="AE28" s="32" t="str">
        <f t="shared" si="3"/>
        <v/>
      </c>
      <c r="AF28" s="33" t="str">
        <f t="shared" si="4"/>
        <v/>
      </c>
      <c r="AG28" s="34" t="str">
        <f t="shared" si="5"/>
        <v/>
      </c>
      <c r="AH28" s="34" t="str">
        <f t="shared" si="7"/>
        <v/>
      </c>
      <c r="AK28" s="64"/>
      <c r="AL28" s="4"/>
      <c r="AM28" s="4"/>
      <c r="AN28" s="4"/>
      <c r="AO28" s="4"/>
      <c r="AP28" s="4"/>
      <c r="AQ28" s="65"/>
      <c r="AR28" s="64"/>
      <c r="AS28" s="4"/>
      <c r="AT28" s="4"/>
      <c r="AU28" s="4"/>
      <c r="AV28" s="4"/>
      <c r="AW28" s="4"/>
      <c r="AX28" s="65"/>
    </row>
    <row r="29" spans="1:50" ht="15.75" thickBot="1">
      <c r="A29" s="2"/>
      <c r="B29" s="23"/>
      <c r="C29" s="23"/>
      <c r="D29" s="23"/>
      <c r="E29" s="23"/>
      <c r="F29" s="23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54" t="str">
        <f t="shared" si="0"/>
        <v/>
      </c>
      <c r="AB29" s="32" t="str">
        <f t="shared" si="1"/>
        <v/>
      </c>
      <c r="AC29" s="32" t="str">
        <f t="shared" si="6"/>
        <v/>
      </c>
      <c r="AD29" s="32" t="str">
        <f t="shared" si="2"/>
        <v/>
      </c>
      <c r="AE29" s="32" t="str">
        <f t="shared" si="3"/>
        <v/>
      </c>
      <c r="AF29" s="33" t="str">
        <f t="shared" si="4"/>
        <v/>
      </c>
      <c r="AG29" s="34" t="str">
        <f t="shared" si="5"/>
        <v/>
      </c>
      <c r="AH29" s="34" t="str">
        <f t="shared" si="7"/>
        <v/>
      </c>
      <c r="AK29" s="64"/>
      <c r="AL29" s="4"/>
      <c r="AM29" s="4"/>
      <c r="AN29" s="4"/>
      <c r="AO29" s="4"/>
      <c r="AP29" s="4"/>
      <c r="AQ29" s="65"/>
      <c r="AR29" s="64"/>
      <c r="AS29" s="4"/>
      <c r="AT29" s="4"/>
      <c r="AU29" s="4"/>
      <c r="AV29" s="4"/>
      <c r="AW29" s="4"/>
      <c r="AX29" s="65"/>
    </row>
    <row r="30" spans="1:50" ht="15.75" thickBot="1">
      <c r="A30" s="2"/>
      <c r="B30" s="23"/>
      <c r="C30" s="23"/>
      <c r="D30" s="23"/>
      <c r="E30" s="23"/>
      <c r="F30" s="23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54" t="str">
        <f t="shared" si="0"/>
        <v/>
      </c>
      <c r="AB30" s="32" t="str">
        <f t="shared" si="1"/>
        <v/>
      </c>
      <c r="AC30" s="32" t="str">
        <f t="shared" si="6"/>
        <v/>
      </c>
      <c r="AD30" s="32" t="str">
        <f t="shared" si="2"/>
        <v/>
      </c>
      <c r="AE30" s="32" t="str">
        <f t="shared" si="3"/>
        <v/>
      </c>
      <c r="AF30" s="33" t="str">
        <f t="shared" si="4"/>
        <v/>
      </c>
      <c r="AG30" s="34" t="str">
        <f t="shared" si="5"/>
        <v/>
      </c>
      <c r="AH30" s="34" t="str">
        <f t="shared" si="7"/>
        <v/>
      </c>
      <c r="AK30" s="64"/>
      <c r="AL30" s="4"/>
      <c r="AM30" s="4"/>
      <c r="AN30" s="4"/>
      <c r="AO30" s="4"/>
      <c r="AP30" s="4"/>
      <c r="AQ30" s="65"/>
      <c r="AR30" s="64"/>
      <c r="AS30" s="4"/>
      <c r="AT30" s="4"/>
      <c r="AU30" s="4"/>
      <c r="AV30" s="4"/>
      <c r="AW30" s="4"/>
      <c r="AX30" s="65"/>
    </row>
    <row r="31" spans="1:50" ht="15.75" thickBot="1">
      <c r="A31" s="2"/>
      <c r="B31" s="23"/>
      <c r="C31" s="23"/>
      <c r="D31" s="23"/>
      <c r="E31" s="23"/>
      <c r="F31" s="23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54" t="str">
        <f t="shared" si="0"/>
        <v/>
      </c>
      <c r="AB31" s="32" t="str">
        <f t="shared" si="1"/>
        <v/>
      </c>
      <c r="AC31" s="32" t="str">
        <f t="shared" si="6"/>
        <v/>
      </c>
      <c r="AD31" s="32" t="str">
        <f t="shared" si="2"/>
        <v/>
      </c>
      <c r="AE31" s="32" t="str">
        <f t="shared" si="3"/>
        <v/>
      </c>
      <c r="AF31" s="33" t="str">
        <f t="shared" si="4"/>
        <v/>
      </c>
      <c r="AG31" s="34" t="str">
        <f t="shared" si="5"/>
        <v/>
      </c>
      <c r="AH31" s="34" t="str">
        <f t="shared" si="7"/>
        <v/>
      </c>
      <c r="AK31" s="64"/>
      <c r="AL31" s="4"/>
      <c r="AM31" s="4"/>
      <c r="AN31" s="4"/>
      <c r="AO31" s="4"/>
      <c r="AP31" s="4"/>
      <c r="AQ31" s="65"/>
      <c r="AR31" s="64"/>
      <c r="AS31" s="4"/>
      <c r="AT31" s="4"/>
      <c r="AU31" s="4"/>
      <c r="AV31" s="4"/>
      <c r="AW31" s="4"/>
      <c r="AX31" s="65"/>
    </row>
    <row r="32" spans="1:50" ht="15.75" thickBot="1">
      <c r="A32" s="2"/>
      <c r="B32" s="23"/>
      <c r="C32" s="23"/>
      <c r="D32" s="23"/>
      <c r="E32" s="23"/>
      <c r="F32" s="23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54" t="str">
        <f t="shared" si="0"/>
        <v/>
      </c>
      <c r="AB32" s="32" t="str">
        <f t="shared" si="1"/>
        <v/>
      </c>
      <c r="AC32" s="32" t="str">
        <f t="shared" si="6"/>
        <v/>
      </c>
      <c r="AD32" s="32" t="str">
        <f t="shared" si="2"/>
        <v/>
      </c>
      <c r="AE32" s="32" t="str">
        <f t="shared" si="3"/>
        <v/>
      </c>
      <c r="AF32" s="33" t="str">
        <f t="shared" si="4"/>
        <v/>
      </c>
      <c r="AG32" s="34" t="str">
        <f t="shared" si="5"/>
        <v/>
      </c>
      <c r="AH32" s="34" t="str">
        <f t="shared" si="7"/>
        <v/>
      </c>
      <c r="AK32" s="64"/>
      <c r="AL32" s="4"/>
      <c r="AM32" s="4"/>
      <c r="AN32" s="4"/>
      <c r="AO32" s="4"/>
      <c r="AP32" s="4"/>
      <c r="AQ32" s="65"/>
      <c r="AR32" s="64"/>
      <c r="AS32" s="4"/>
      <c r="AT32" s="4"/>
      <c r="AU32" s="4"/>
      <c r="AV32" s="4"/>
      <c r="AW32" s="4"/>
      <c r="AX32" s="65"/>
    </row>
    <row r="33" spans="1:50" ht="18" customHeight="1" thickBot="1">
      <c r="A33" s="2"/>
      <c r="B33" s="23"/>
      <c r="C33" s="23"/>
      <c r="D33" s="23"/>
      <c r="E33" s="23"/>
      <c r="F33" s="23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54" t="str">
        <f t="shared" si="0"/>
        <v/>
      </c>
      <c r="AB33" s="32" t="str">
        <f t="shared" si="1"/>
        <v/>
      </c>
      <c r="AC33" s="32" t="str">
        <f t="shared" si="6"/>
        <v/>
      </c>
      <c r="AD33" s="32" t="str">
        <f t="shared" si="2"/>
        <v/>
      </c>
      <c r="AE33" s="32" t="str">
        <f t="shared" si="3"/>
        <v/>
      </c>
      <c r="AF33" s="33" t="str">
        <f t="shared" si="4"/>
        <v/>
      </c>
      <c r="AG33" s="34" t="str">
        <f t="shared" si="5"/>
        <v/>
      </c>
      <c r="AH33" s="34" t="str">
        <f t="shared" si="7"/>
        <v/>
      </c>
      <c r="AK33" s="64"/>
      <c r="AL33" s="4"/>
      <c r="AM33" s="4"/>
      <c r="AN33" s="4"/>
      <c r="AO33" s="4"/>
      <c r="AP33" s="4"/>
      <c r="AQ33" s="65"/>
      <c r="AR33" s="64"/>
      <c r="AS33" s="4"/>
      <c r="AT33" s="4"/>
      <c r="AU33" s="4"/>
      <c r="AV33" s="4"/>
      <c r="AW33" s="4"/>
      <c r="AX33" s="65"/>
    </row>
    <row r="34" spans="1:50" ht="15.75" thickBot="1">
      <c r="A34" s="2"/>
      <c r="B34" s="23"/>
      <c r="C34" s="23"/>
      <c r="D34" s="23"/>
      <c r="E34" s="23"/>
      <c r="F34" s="23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54" t="str">
        <f t="shared" si="0"/>
        <v/>
      </c>
      <c r="AB34" s="32" t="str">
        <f t="shared" si="1"/>
        <v/>
      </c>
      <c r="AC34" s="32" t="str">
        <f t="shared" si="6"/>
        <v/>
      </c>
      <c r="AD34" s="32" t="str">
        <f t="shared" si="2"/>
        <v/>
      </c>
      <c r="AE34" s="32" t="str">
        <f t="shared" si="3"/>
        <v/>
      </c>
      <c r="AF34" s="33" t="str">
        <f t="shared" si="4"/>
        <v/>
      </c>
      <c r="AG34" s="34" t="str">
        <f t="shared" si="5"/>
        <v/>
      </c>
      <c r="AH34" s="34" t="str">
        <f t="shared" si="7"/>
        <v/>
      </c>
      <c r="AK34" s="66"/>
      <c r="AL34" s="67"/>
      <c r="AM34" s="67"/>
      <c r="AN34" s="67"/>
      <c r="AO34" s="67"/>
      <c r="AP34" s="67"/>
      <c r="AQ34" s="68"/>
      <c r="AR34" s="66"/>
      <c r="AS34" s="67"/>
      <c r="AT34" s="67"/>
      <c r="AU34" s="67"/>
      <c r="AV34" s="67"/>
      <c r="AW34" s="67"/>
      <c r="AX34" s="68"/>
    </row>
    <row r="35" spans="1:50" ht="15.75" thickBot="1">
      <c r="A35" s="2"/>
      <c r="B35" s="23"/>
      <c r="C35" s="23"/>
      <c r="D35" s="23"/>
      <c r="E35" s="23"/>
      <c r="F35" s="23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54" t="str">
        <f t="shared" si="0"/>
        <v/>
      </c>
      <c r="AB35" s="32" t="str">
        <f t="shared" si="1"/>
        <v/>
      </c>
      <c r="AC35" s="32" t="str">
        <f t="shared" si="6"/>
        <v/>
      </c>
      <c r="AD35" s="32" t="str">
        <f t="shared" si="2"/>
        <v/>
      </c>
      <c r="AE35" s="32" t="str">
        <f t="shared" si="3"/>
        <v/>
      </c>
      <c r="AF35" s="33" t="str">
        <f t="shared" si="4"/>
        <v/>
      </c>
      <c r="AG35" s="34" t="str">
        <f t="shared" si="5"/>
        <v/>
      </c>
      <c r="AH35" s="34" t="str">
        <f t="shared" si="7"/>
        <v/>
      </c>
    </row>
    <row r="36" spans="1:50" ht="15.75" hidden="1" thickBot="1">
      <c r="A36" s="2"/>
      <c r="B36" s="23"/>
      <c r="C36" s="23"/>
      <c r="D36" s="23"/>
      <c r="E36" s="23"/>
      <c r="F36" s="23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54" t="str">
        <f t="shared" si="0"/>
        <v/>
      </c>
      <c r="AB36" s="32" t="str">
        <f t="shared" si="1"/>
        <v/>
      </c>
      <c r="AC36" s="32" t="str">
        <f t="shared" si="6"/>
        <v/>
      </c>
      <c r="AD36" s="32" t="str">
        <f t="shared" si="2"/>
        <v/>
      </c>
      <c r="AE36" s="32" t="str">
        <f t="shared" si="3"/>
        <v/>
      </c>
      <c r="AF36" s="33" t="str">
        <f t="shared" si="4"/>
        <v/>
      </c>
      <c r="AG36" s="34" t="str">
        <f t="shared" si="5"/>
        <v/>
      </c>
      <c r="AH36" s="34" t="str">
        <f t="shared" si="7"/>
        <v/>
      </c>
    </row>
    <row r="37" spans="1:50" ht="15.75" hidden="1" thickBot="1">
      <c r="A37" s="2"/>
      <c r="B37" s="23"/>
      <c r="C37" s="23"/>
      <c r="D37" s="23"/>
      <c r="E37" s="23"/>
      <c r="F37" s="23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54" t="str">
        <f t="shared" si="0"/>
        <v/>
      </c>
      <c r="AB37" s="32" t="str">
        <f t="shared" si="1"/>
        <v/>
      </c>
      <c r="AC37" s="32" t="str">
        <f t="shared" si="6"/>
        <v/>
      </c>
      <c r="AD37" s="32" t="str">
        <f t="shared" si="2"/>
        <v/>
      </c>
      <c r="AE37" s="32" t="str">
        <f t="shared" si="3"/>
        <v/>
      </c>
      <c r="AF37" s="33" t="str">
        <f t="shared" si="4"/>
        <v/>
      </c>
      <c r="AG37" s="34" t="str">
        <f t="shared" si="5"/>
        <v/>
      </c>
      <c r="AH37" s="34" t="str">
        <f t="shared" si="7"/>
        <v/>
      </c>
    </row>
    <row r="38" spans="1:50" ht="15.75" hidden="1" thickBot="1">
      <c r="A38" s="2"/>
      <c r="B38" s="23"/>
      <c r="C38" s="23"/>
      <c r="D38" s="23"/>
      <c r="E38" s="23"/>
      <c r="F38" s="23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54" t="str">
        <f t="shared" si="0"/>
        <v/>
      </c>
      <c r="AB38" s="32" t="str">
        <f t="shared" si="1"/>
        <v/>
      </c>
      <c r="AC38" s="32" t="str">
        <f t="shared" si="6"/>
        <v/>
      </c>
      <c r="AD38" s="32" t="str">
        <f t="shared" si="2"/>
        <v/>
      </c>
      <c r="AE38" s="32" t="str">
        <f t="shared" si="3"/>
        <v/>
      </c>
      <c r="AF38" s="33" t="str">
        <f t="shared" si="4"/>
        <v/>
      </c>
      <c r="AG38" s="34" t="str">
        <f t="shared" si="5"/>
        <v/>
      </c>
      <c r="AH38" s="34" t="str">
        <f t="shared" si="7"/>
        <v/>
      </c>
    </row>
    <row r="39" spans="1:50" ht="15.75" hidden="1" thickBot="1">
      <c r="A39" s="2"/>
      <c r="B39" s="23"/>
      <c r="C39" s="23"/>
      <c r="D39" s="23"/>
      <c r="E39" s="23"/>
      <c r="F39" s="23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54" t="str">
        <f t="shared" si="0"/>
        <v/>
      </c>
      <c r="AB39" s="32" t="str">
        <f t="shared" si="1"/>
        <v/>
      </c>
      <c r="AC39" s="32" t="str">
        <f t="shared" si="6"/>
        <v/>
      </c>
      <c r="AD39" s="32" t="str">
        <f t="shared" si="2"/>
        <v/>
      </c>
      <c r="AE39" s="32" t="str">
        <f t="shared" si="3"/>
        <v/>
      </c>
      <c r="AF39" s="33" t="str">
        <f t="shared" si="4"/>
        <v/>
      </c>
      <c r="AG39" s="34" t="str">
        <f t="shared" si="5"/>
        <v/>
      </c>
      <c r="AH39" s="34" t="str">
        <f t="shared" si="7"/>
        <v/>
      </c>
    </row>
    <row r="40" spans="1:50" ht="15.75" hidden="1" thickBot="1">
      <c r="A40" s="2"/>
      <c r="B40" s="23"/>
      <c r="C40" s="23"/>
      <c r="D40" s="23"/>
      <c r="E40" s="23"/>
      <c r="F40" s="23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54" t="str">
        <f t="shared" si="0"/>
        <v/>
      </c>
      <c r="AB40" s="32" t="str">
        <f t="shared" si="1"/>
        <v/>
      </c>
      <c r="AC40" s="32" t="str">
        <f t="shared" si="6"/>
        <v/>
      </c>
      <c r="AD40" s="32" t="str">
        <f t="shared" si="2"/>
        <v/>
      </c>
      <c r="AE40" s="32" t="str">
        <f t="shared" si="3"/>
        <v/>
      </c>
      <c r="AF40" s="33" t="str">
        <f t="shared" si="4"/>
        <v/>
      </c>
      <c r="AG40" s="34" t="str">
        <f t="shared" si="5"/>
        <v/>
      </c>
      <c r="AH40" s="34" t="str">
        <f t="shared" si="7"/>
        <v/>
      </c>
    </row>
    <row r="41" spans="1:50" ht="15.75" hidden="1" thickBot="1">
      <c r="A41" s="2"/>
      <c r="B41" s="23"/>
      <c r="C41" s="23"/>
      <c r="D41" s="23"/>
      <c r="E41" s="23"/>
      <c r="F41" s="23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54" t="str">
        <f t="shared" ref="AA41:AA104" si="8">IF(SUM(B41:Z41)&gt;0,AVERAGE(B41:Z41),"")</f>
        <v/>
      </c>
      <c r="AB41" s="32" t="str">
        <f t="shared" ref="AB41:AB104" si="9">IF(SUM(B41:Z41)&gt;0,AVERAGE($AA$9:$AA$116),"")</f>
        <v/>
      </c>
      <c r="AC41" s="32" t="str">
        <f t="shared" si="6"/>
        <v/>
      </c>
      <c r="AD41" s="32" t="str">
        <f t="shared" si="2"/>
        <v/>
      </c>
      <c r="AE41" s="32" t="str">
        <f t="shared" si="3"/>
        <v/>
      </c>
      <c r="AF41" s="33" t="str">
        <f t="shared" si="4"/>
        <v/>
      </c>
      <c r="AG41" s="34" t="str">
        <f t="shared" si="5"/>
        <v/>
      </c>
      <c r="AH41" s="34" t="str">
        <f t="shared" ref="AH41:AH104" si="10">IF(SUM(B41:Z41)&gt;0,$AD$4*AF41,"")</f>
        <v/>
      </c>
    </row>
    <row r="42" spans="1:50" ht="15.75" hidden="1" thickBot="1">
      <c r="A42" s="2"/>
      <c r="B42" s="23"/>
      <c r="C42" s="23"/>
      <c r="D42" s="23"/>
      <c r="E42" s="23"/>
      <c r="F42" s="23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54" t="str">
        <f t="shared" si="8"/>
        <v/>
      </c>
      <c r="AB42" s="32" t="str">
        <f t="shared" si="9"/>
        <v/>
      </c>
      <c r="AC42" s="32" t="str">
        <f t="shared" si="6"/>
        <v/>
      </c>
      <c r="AD42" s="32" t="str">
        <f t="shared" si="2"/>
        <v/>
      </c>
      <c r="AE42" s="32" t="str">
        <f t="shared" si="3"/>
        <v/>
      </c>
      <c r="AF42" s="33" t="str">
        <f t="shared" si="4"/>
        <v/>
      </c>
      <c r="AG42" s="34" t="str">
        <f t="shared" si="5"/>
        <v/>
      </c>
      <c r="AH42" s="34" t="str">
        <f t="shared" si="10"/>
        <v/>
      </c>
    </row>
    <row r="43" spans="1:50" ht="15.75" hidden="1" thickBot="1">
      <c r="A43" s="2"/>
      <c r="B43" s="23"/>
      <c r="C43" s="23"/>
      <c r="D43" s="23"/>
      <c r="E43" s="23"/>
      <c r="F43" s="23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54" t="str">
        <f t="shared" si="8"/>
        <v/>
      </c>
      <c r="AB43" s="32" t="str">
        <f t="shared" si="9"/>
        <v/>
      </c>
      <c r="AC43" s="32" t="str">
        <f t="shared" si="6"/>
        <v/>
      </c>
      <c r="AD43" s="32" t="str">
        <f t="shared" si="2"/>
        <v/>
      </c>
      <c r="AE43" s="32" t="str">
        <f t="shared" si="3"/>
        <v/>
      </c>
      <c r="AF43" s="33" t="str">
        <f t="shared" si="4"/>
        <v/>
      </c>
      <c r="AG43" s="34" t="str">
        <f t="shared" si="5"/>
        <v/>
      </c>
      <c r="AH43" s="34" t="str">
        <f t="shared" si="10"/>
        <v/>
      </c>
    </row>
    <row r="44" spans="1:50" ht="15.75" hidden="1" thickBot="1">
      <c r="A44" s="2"/>
      <c r="B44" s="23"/>
      <c r="C44" s="23"/>
      <c r="D44" s="23"/>
      <c r="E44" s="23"/>
      <c r="F44" s="23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54" t="str">
        <f t="shared" si="8"/>
        <v/>
      </c>
      <c r="AB44" s="32" t="str">
        <f t="shared" si="9"/>
        <v/>
      </c>
      <c r="AC44" s="32" t="str">
        <f t="shared" si="6"/>
        <v/>
      </c>
      <c r="AD44" s="32" t="str">
        <f t="shared" si="2"/>
        <v/>
      </c>
      <c r="AE44" s="32" t="str">
        <f t="shared" si="3"/>
        <v/>
      </c>
      <c r="AF44" s="33" t="str">
        <f t="shared" si="4"/>
        <v/>
      </c>
      <c r="AG44" s="34" t="str">
        <f t="shared" si="5"/>
        <v/>
      </c>
      <c r="AH44" s="34" t="str">
        <f t="shared" si="10"/>
        <v/>
      </c>
    </row>
    <row r="45" spans="1:50" ht="15.75" hidden="1" thickBot="1">
      <c r="A45" s="2"/>
      <c r="B45" s="23"/>
      <c r="C45" s="23"/>
      <c r="D45" s="23"/>
      <c r="E45" s="23"/>
      <c r="F45" s="23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54" t="str">
        <f t="shared" si="8"/>
        <v/>
      </c>
      <c r="AB45" s="32" t="str">
        <f t="shared" si="9"/>
        <v/>
      </c>
      <c r="AC45" s="32" t="str">
        <f t="shared" si="6"/>
        <v/>
      </c>
      <c r="AD45" s="32" t="str">
        <f t="shared" si="2"/>
        <v/>
      </c>
      <c r="AE45" s="32" t="str">
        <f t="shared" si="3"/>
        <v/>
      </c>
      <c r="AF45" s="33" t="str">
        <f t="shared" si="4"/>
        <v/>
      </c>
      <c r="AG45" s="34" t="str">
        <f t="shared" si="5"/>
        <v/>
      </c>
      <c r="AH45" s="34" t="str">
        <f t="shared" si="10"/>
        <v/>
      </c>
    </row>
    <row r="46" spans="1:50" ht="15.75" hidden="1" thickBot="1">
      <c r="A46" s="2"/>
      <c r="B46" s="23"/>
      <c r="C46" s="23"/>
      <c r="D46" s="23"/>
      <c r="E46" s="23"/>
      <c r="F46" s="23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54" t="str">
        <f t="shared" si="8"/>
        <v/>
      </c>
      <c r="AB46" s="32" t="str">
        <f t="shared" si="9"/>
        <v/>
      </c>
      <c r="AC46" s="32" t="str">
        <f t="shared" si="6"/>
        <v/>
      </c>
      <c r="AD46" s="32" t="str">
        <f t="shared" si="2"/>
        <v/>
      </c>
      <c r="AE46" s="32" t="str">
        <f t="shared" si="3"/>
        <v/>
      </c>
      <c r="AF46" s="33" t="str">
        <f t="shared" si="4"/>
        <v/>
      </c>
      <c r="AG46" s="34" t="str">
        <f t="shared" si="5"/>
        <v/>
      </c>
      <c r="AH46" s="34" t="str">
        <f t="shared" si="10"/>
        <v/>
      </c>
    </row>
    <row r="47" spans="1:50" ht="15.75" hidden="1" thickBot="1">
      <c r="A47" s="2"/>
      <c r="B47" s="23"/>
      <c r="C47" s="23"/>
      <c r="D47" s="23"/>
      <c r="E47" s="23"/>
      <c r="F47" s="23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54" t="str">
        <f t="shared" si="8"/>
        <v/>
      </c>
      <c r="AB47" s="32" t="str">
        <f t="shared" si="9"/>
        <v/>
      </c>
      <c r="AC47" s="32" t="str">
        <f t="shared" si="6"/>
        <v/>
      </c>
      <c r="AD47" s="32" t="str">
        <f t="shared" si="2"/>
        <v/>
      </c>
      <c r="AE47" s="32" t="str">
        <f t="shared" si="3"/>
        <v/>
      </c>
      <c r="AF47" s="33" t="str">
        <f t="shared" si="4"/>
        <v/>
      </c>
      <c r="AG47" s="34" t="str">
        <f t="shared" si="5"/>
        <v/>
      </c>
      <c r="AH47" s="34" t="str">
        <f t="shared" si="10"/>
        <v/>
      </c>
    </row>
    <row r="48" spans="1:50" ht="15.75" hidden="1" thickBot="1">
      <c r="A48" s="2"/>
      <c r="B48" s="23"/>
      <c r="C48" s="23"/>
      <c r="D48" s="23"/>
      <c r="E48" s="23"/>
      <c r="F48" s="23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54" t="str">
        <f t="shared" si="8"/>
        <v/>
      </c>
      <c r="AB48" s="32" t="str">
        <f t="shared" si="9"/>
        <v/>
      </c>
      <c r="AC48" s="32" t="str">
        <f t="shared" si="6"/>
        <v/>
      </c>
      <c r="AD48" s="32" t="str">
        <f t="shared" si="2"/>
        <v/>
      </c>
      <c r="AE48" s="32" t="str">
        <f t="shared" si="3"/>
        <v/>
      </c>
      <c r="AF48" s="33" t="str">
        <f t="shared" si="4"/>
        <v/>
      </c>
      <c r="AG48" s="34" t="str">
        <f t="shared" si="5"/>
        <v/>
      </c>
      <c r="AH48" s="34" t="str">
        <f t="shared" si="10"/>
        <v/>
      </c>
    </row>
    <row r="49" spans="1:34" ht="15.75" hidden="1" thickBot="1">
      <c r="A49" s="2"/>
      <c r="B49" s="23"/>
      <c r="C49" s="23"/>
      <c r="D49" s="23"/>
      <c r="E49" s="23"/>
      <c r="F49" s="23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54" t="str">
        <f t="shared" si="8"/>
        <v/>
      </c>
      <c r="AB49" s="32" t="str">
        <f t="shared" si="9"/>
        <v/>
      </c>
      <c r="AC49" s="32" t="str">
        <f t="shared" si="6"/>
        <v/>
      </c>
      <c r="AD49" s="32" t="str">
        <f t="shared" si="2"/>
        <v/>
      </c>
      <c r="AE49" s="32" t="str">
        <f t="shared" si="3"/>
        <v/>
      </c>
      <c r="AF49" s="33" t="str">
        <f t="shared" si="4"/>
        <v/>
      </c>
      <c r="AG49" s="34" t="str">
        <f t="shared" si="5"/>
        <v/>
      </c>
      <c r="AH49" s="34" t="str">
        <f t="shared" si="10"/>
        <v/>
      </c>
    </row>
    <row r="50" spans="1:34" ht="15.75" hidden="1" thickBot="1">
      <c r="A50" s="2"/>
      <c r="B50" s="23"/>
      <c r="C50" s="23"/>
      <c r="D50" s="23"/>
      <c r="E50" s="23"/>
      <c r="F50" s="23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54" t="str">
        <f t="shared" si="8"/>
        <v/>
      </c>
      <c r="AB50" s="32" t="str">
        <f t="shared" si="9"/>
        <v/>
      </c>
      <c r="AC50" s="32" t="str">
        <f t="shared" si="6"/>
        <v/>
      </c>
      <c r="AD50" s="32" t="str">
        <f t="shared" si="2"/>
        <v/>
      </c>
      <c r="AE50" s="32" t="str">
        <f t="shared" si="3"/>
        <v/>
      </c>
      <c r="AF50" s="33" t="str">
        <f t="shared" si="4"/>
        <v/>
      </c>
      <c r="AG50" s="34" t="str">
        <f t="shared" si="5"/>
        <v/>
      </c>
      <c r="AH50" s="34" t="str">
        <f t="shared" si="10"/>
        <v/>
      </c>
    </row>
    <row r="51" spans="1:34" ht="15.75" hidden="1" thickBot="1">
      <c r="A51" s="2"/>
      <c r="B51" s="23"/>
      <c r="C51" s="23"/>
      <c r="D51" s="23"/>
      <c r="E51" s="23"/>
      <c r="F51" s="23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54" t="str">
        <f t="shared" si="8"/>
        <v/>
      </c>
      <c r="AB51" s="32" t="str">
        <f t="shared" si="9"/>
        <v/>
      </c>
      <c r="AC51" s="32" t="str">
        <f t="shared" si="6"/>
        <v/>
      </c>
      <c r="AD51" s="32" t="str">
        <f t="shared" si="2"/>
        <v/>
      </c>
      <c r="AE51" s="32" t="str">
        <f t="shared" si="3"/>
        <v/>
      </c>
      <c r="AF51" s="33" t="str">
        <f t="shared" si="4"/>
        <v/>
      </c>
      <c r="AG51" s="34" t="str">
        <f t="shared" si="5"/>
        <v/>
      </c>
      <c r="AH51" s="34" t="str">
        <f t="shared" si="10"/>
        <v/>
      </c>
    </row>
    <row r="52" spans="1:34" ht="15.75" hidden="1" thickBot="1">
      <c r="A52" s="2"/>
      <c r="B52" s="23"/>
      <c r="C52" s="23"/>
      <c r="D52" s="23"/>
      <c r="E52" s="23"/>
      <c r="F52" s="23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54" t="str">
        <f t="shared" si="8"/>
        <v/>
      </c>
      <c r="AB52" s="32" t="str">
        <f t="shared" si="9"/>
        <v/>
      </c>
      <c r="AC52" s="32" t="str">
        <f t="shared" si="6"/>
        <v/>
      </c>
      <c r="AD52" s="32" t="str">
        <f t="shared" si="2"/>
        <v/>
      </c>
      <c r="AE52" s="32" t="str">
        <f t="shared" si="3"/>
        <v/>
      </c>
      <c r="AF52" s="33" t="str">
        <f t="shared" si="4"/>
        <v/>
      </c>
      <c r="AG52" s="34" t="str">
        <f t="shared" si="5"/>
        <v/>
      </c>
      <c r="AH52" s="34" t="str">
        <f t="shared" si="10"/>
        <v/>
      </c>
    </row>
    <row r="53" spans="1:34" ht="15.75" hidden="1" thickBot="1">
      <c r="A53" s="2"/>
      <c r="B53" s="23"/>
      <c r="C53" s="23"/>
      <c r="D53" s="23"/>
      <c r="E53" s="23"/>
      <c r="F53" s="23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54" t="str">
        <f t="shared" si="8"/>
        <v/>
      </c>
      <c r="AB53" s="32" t="str">
        <f t="shared" si="9"/>
        <v/>
      </c>
      <c r="AC53" s="32" t="str">
        <f t="shared" si="6"/>
        <v/>
      </c>
      <c r="AD53" s="32" t="str">
        <f t="shared" si="2"/>
        <v/>
      </c>
      <c r="AE53" s="32" t="str">
        <f t="shared" si="3"/>
        <v/>
      </c>
      <c r="AF53" s="33" t="str">
        <f t="shared" si="4"/>
        <v/>
      </c>
      <c r="AG53" s="34" t="str">
        <f t="shared" si="5"/>
        <v/>
      </c>
      <c r="AH53" s="34" t="str">
        <f t="shared" si="10"/>
        <v/>
      </c>
    </row>
    <row r="54" spans="1:34" ht="15.75" hidden="1" thickBot="1">
      <c r="A54" s="2"/>
      <c r="B54" s="23"/>
      <c r="C54" s="23"/>
      <c r="D54" s="23"/>
      <c r="E54" s="23"/>
      <c r="F54" s="23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54" t="str">
        <f t="shared" si="8"/>
        <v/>
      </c>
      <c r="AB54" s="32" t="str">
        <f t="shared" si="9"/>
        <v/>
      </c>
      <c r="AC54" s="32" t="str">
        <f t="shared" si="6"/>
        <v/>
      </c>
      <c r="AD54" s="32" t="str">
        <f t="shared" si="2"/>
        <v/>
      </c>
      <c r="AE54" s="32" t="str">
        <f t="shared" si="3"/>
        <v/>
      </c>
      <c r="AF54" s="33" t="str">
        <f t="shared" si="4"/>
        <v/>
      </c>
      <c r="AG54" s="34" t="str">
        <f t="shared" si="5"/>
        <v/>
      </c>
      <c r="AH54" s="34" t="str">
        <f t="shared" si="10"/>
        <v/>
      </c>
    </row>
    <row r="55" spans="1:34" ht="15.75" hidden="1" thickBot="1">
      <c r="A55" s="2"/>
      <c r="B55" s="23"/>
      <c r="C55" s="23"/>
      <c r="D55" s="23"/>
      <c r="E55" s="23"/>
      <c r="F55" s="23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54" t="str">
        <f t="shared" si="8"/>
        <v/>
      </c>
      <c r="AB55" s="32" t="str">
        <f t="shared" si="9"/>
        <v/>
      </c>
      <c r="AC55" s="32" t="str">
        <f t="shared" si="6"/>
        <v/>
      </c>
      <c r="AD55" s="32" t="str">
        <f t="shared" si="2"/>
        <v/>
      </c>
      <c r="AE55" s="32" t="str">
        <f t="shared" si="3"/>
        <v/>
      </c>
      <c r="AF55" s="33" t="str">
        <f t="shared" si="4"/>
        <v/>
      </c>
      <c r="AG55" s="34" t="str">
        <f t="shared" si="5"/>
        <v/>
      </c>
      <c r="AH55" s="34" t="str">
        <f t="shared" si="10"/>
        <v/>
      </c>
    </row>
    <row r="56" spans="1:34" ht="15.75" hidden="1" thickBot="1">
      <c r="A56" s="2"/>
      <c r="B56" s="23"/>
      <c r="C56" s="23"/>
      <c r="D56" s="23"/>
      <c r="E56" s="23"/>
      <c r="F56" s="23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54" t="str">
        <f t="shared" si="8"/>
        <v/>
      </c>
      <c r="AB56" s="32" t="str">
        <f t="shared" si="9"/>
        <v/>
      </c>
      <c r="AC56" s="32" t="str">
        <f t="shared" si="6"/>
        <v/>
      </c>
      <c r="AD56" s="32" t="str">
        <f t="shared" si="2"/>
        <v/>
      </c>
      <c r="AE56" s="32" t="str">
        <f t="shared" si="3"/>
        <v/>
      </c>
      <c r="AF56" s="33" t="str">
        <f t="shared" si="4"/>
        <v/>
      </c>
      <c r="AG56" s="34" t="str">
        <f t="shared" si="5"/>
        <v/>
      </c>
      <c r="AH56" s="34" t="str">
        <f t="shared" si="10"/>
        <v/>
      </c>
    </row>
    <row r="57" spans="1:34" ht="15.75" hidden="1" thickBot="1">
      <c r="A57" s="2"/>
      <c r="B57" s="23"/>
      <c r="C57" s="23"/>
      <c r="D57" s="23"/>
      <c r="E57" s="23"/>
      <c r="F57" s="23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54" t="str">
        <f t="shared" si="8"/>
        <v/>
      </c>
      <c r="AB57" s="32" t="str">
        <f t="shared" si="9"/>
        <v/>
      </c>
      <c r="AC57" s="32" t="str">
        <f t="shared" si="6"/>
        <v/>
      </c>
      <c r="AD57" s="32" t="str">
        <f t="shared" si="2"/>
        <v/>
      </c>
      <c r="AE57" s="32" t="str">
        <f t="shared" si="3"/>
        <v/>
      </c>
      <c r="AF57" s="33" t="str">
        <f t="shared" si="4"/>
        <v/>
      </c>
      <c r="AG57" s="34" t="str">
        <f t="shared" si="5"/>
        <v/>
      </c>
      <c r="AH57" s="34" t="str">
        <f t="shared" si="10"/>
        <v/>
      </c>
    </row>
    <row r="58" spans="1:34" ht="15.75" hidden="1" thickBot="1">
      <c r="A58" s="2"/>
      <c r="B58" s="23"/>
      <c r="C58" s="23"/>
      <c r="D58" s="23"/>
      <c r="E58" s="23"/>
      <c r="F58" s="23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54" t="str">
        <f t="shared" si="8"/>
        <v/>
      </c>
      <c r="AB58" s="32" t="str">
        <f t="shared" si="9"/>
        <v/>
      </c>
      <c r="AC58" s="32" t="str">
        <f t="shared" si="6"/>
        <v/>
      </c>
      <c r="AD58" s="32" t="str">
        <f t="shared" si="2"/>
        <v/>
      </c>
      <c r="AE58" s="32" t="str">
        <f t="shared" si="3"/>
        <v/>
      </c>
      <c r="AF58" s="33" t="str">
        <f t="shared" si="4"/>
        <v/>
      </c>
      <c r="AG58" s="34" t="str">
        <f t="shared" si="5"/>
        <v/>
      </c>
      <c r="AH58" s="34" t="str">
        <f t="shared" si="10"/>
        <v/>
      </c>
    </row>
    <row r="59" spans="1:34" ht="15.75" hidden="1" thickBot="1">
      <c r="A59" s="2"/>
      <c r="B59" s="23"/>
      <c r="C59" s="23"/>
      <c r="D59" s="23"/>
      <c r="E59" s="23"/>
      <c r="F59" s="23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54" t="str">
        <f t="shared" si="8"/>
        <v/>
      </c>
      <c r="AB59" s="32" t="str">
        <f t="shared" si="9"/>
        <v/>
      </c>
      <c r="AC59" s="32" t="str">
        <f t="shared" si="6"/>
        <v/>
      </c>
      <c r="AD59" s="32" t="str">
        <f t="shared" si="2"/>
        <v/>
      </c>
      <c r="AE59" s="32" t="str">
        <f t="shared" si="3"/>
        <v/>
      </c>
      <c r="AF59" s="33" t="str">
        <f t="shared" si="4"/>
        <v/>
      </c>
      <c r="AG59" s="34" t="str">
        <f t="shared" si="5"/>
        <v/>
      </c>
      <c r="AH59" s="34" t="str">
        <f t="shared" si="10"/>
        <v/>
      </c>
    </row>
    <row r="60" spans="1:34" ht="15.75" hidden="1" thickBot="1">
      <c r="A60" s="2"/>
      <c r="B60" s="23"/>
      <c r="C60" s="23"/>
      <c r="D60" s="23"/>
      <c r="E60" s="23"/>
      <c r="F60" s="23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54" t="str">
        <f t="shared" si="8"/>
        <v/>
      </c>
      <c r="AB60" s="32" t="str">
        <f t="shared" si="9"/>
        <v/>
      </c>
      <c r="AC60" s="32" t="str">
        <f t="shared" si="6"/>
        <v/>
      </c>
      <c r="AD60" s="32" t="str">
        <f t="shared" si="2"/>
        <v/>
      </c>
      <c r="AE60" s="32" t="str">
        <f t="shared" si="3"/>
        <v/>
      </c>
      <c r="AF60" s="33" t="str">
        <f t="shared" si="4"/>
        <v/>
      </c>
      <c r="AG60" s="34" t="str">
        <f t="shared" si="5"/>
        <v/>
      </c>
      <c r="AH60" s="34" t="str">
        <f t="shared" si="10"/>
        <v/>
      </c>
    </row>
    <row r="61" spans="1:34" ht="15.75" hidden="1" thickBot="1">
      <c r="A61" s="2"/>
      <c r="B61" s="23"/>
      <c r="C61" s="23"/>
      <c r="D61" s="23"/>
      <c r="E61" s="23"/>
      <c r="F61" s="23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54" t="str">
        <f t="shared" si="8"/>
        <v/>
      </c>
      <c r="AB61" s="32" t="str">
        <f t="shared" si="9"/>
        <v/>
      </c>
      <c r="AC61" s="32" t="str">
        <f t="shared" si="6"/>
        <v/>
      </c>
      <c r="AD61" s="32" t="str">
        <f t="shared" si="2"/>
        <v/>
      </c>
      <c r="AE61" s="32" t="str">
        <f t="shared" si="3"/>
        <v/>
      </c>
      <c r="AF61" s="33" t="str">
        <f t="shared" si="4"/>
        <v/>
      </c>
      <c r="AG61" s="34" t="str">
        <f t="shared" si="5"/>
        <v/>
      </c>
      <c r="AH61" s="34" t="str">
        <f t="shared" si="10"/>
        <v/>
      </c>
    </row>
    <row r="62" spans="1:34" ht="15.75" hidden="1" thickBot="1">
      <c r="A62" s="2"/>
      <c r="B62" s="23"/>
      <c r="C62" s="23"/>
      <c r="D62" s="23"/>
      <c r="E62" s="23"/>
      <c r="F62" s="23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54" t="str">
        <f t="shared" si="8"/>
        <v/>
      </c>
      <c r="AB62" s="32" t="str">
        <f t="shared" si="9"/>
        <v/>
      </c>
      <c r="AC62" s="32" t="str">
        <f t="shared" si="6"/>
        <v/>
      </c>
      <c r="AD62" s="32" t="str">
        <f t="shared" si="2"/>
        <v/>
      </c>
      <c r="AE62" s="32" t="str">
        <f t="shared" si="3"/>
        <v/>
      </c>
      <c r="AF62" s="33" t="str">
        <f t="shared" si="4"/>
        <v/>
      </c>
      <c r="AG62" s="34" t="str">
        <f t="shared" si="5"/>
        <v/>
      </c>
      <c r="AH62" s="34" t="str">
        <f t="shared" si="10"/>
        <v/>
      </c>
    </row>
    <row r="63" spans="1:34" ht="15.75" hidden="1" thickBot="1">
      <c r="A63" s="2"/>
      <c r="B63" s="23"/>
      <c r="C63" s="23"/>
      <c r="D63" s="23"/>
      <c r="E63" s="23"/>
      <c r="F63" s="23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54" t="str">
        <f t="shared" si="8"/>
        <v/>
      </c>
      <c r="AB63" s="32" t="str">
        <f t="shared" si="9"/>
        <v/>
      </c>
      <c r="AC63" s="32" t="str">
        <f t="shared" si="6"/>
        <v/>
      </c>
      <c r="AD63" s="32" t="str">
        <f t="shared" si="2"/>
        <v/>
      </c>
      <c r="AE63" s="32" t="str">
        <f t="shared" si="3"/>
        <v/>
      </c>
      <c r="AF63" s="33" t="str">
        <f t="shared" si="4"/>
        <v/>
      </c>
      <c r="AG63" s="34" t="str">
        <f t="shared" si="5"/>
        <v/>
      </c>
      <c r="AH63" s="34" t="str">
        <f t="shared" si="10"/>
        <v/>
      </c>
    </row>
    <row r="64" spans="1:34" ht="15.75" hidden="1" thickBot="1">
      <c r="A64" s="2"/>
      <c r="B64" s="23"/>
      <c r="C64" s="23"/>
      <c r="D64" s="23"/>
      <c r="E64" s="23"/>
      <c r="F64" s="23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54" t="str">
        <f t="shared" si="8"/>
        <v/>
      </c>
      <c r="AB64" s="32" t="str">
        <f t="shared" si="9"/>
        <v/>
      </c>
      <c r="AC64" s="32" t="str">
        <f t="shared" si="6"/>
        <v/>
      </c>
      <c r="AD64" s="32" t="str">
        <f t="shared" si="2"/>
        <v/>
      </c>
      <c r="AE64" s="32" t="str">
        <f t="shared" si="3"/>
        <v/>
      </c>
      <c r="AF64" s="33" t="str">
        <f t="shared" si="4"/>
        <v/>
      </c>
      <c r="AG64" s="34" t="str">
        <f t="shared" si="5"/>
        <v/>
      </c>
      <c r="AH64" s="34" t="str">
        <f t="shared" si="10"/>
        <v/>
      </c>
    </row>
    <row r="65" spans="1:34" ht="15.75" hidden="1" thickBot="1">
      <c r="A65" s="2"/>
      <c r="B65" s="23"/>
      <c r="C65" s="23"/>
      <c r="D65" s="23"/>
      <c r="E65" s="23"/>
      <c r="F65" s="23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54" t="str">
        <f t="shared" si="8"/>
        <v/>
      </c>
      <c r="AB65" s="32" t="str">
        <f t="shared" si="9"/>
        <v/>
      </c>
      <c r="AC65" s="32" t="str">
        <f t="shared" si="6"/>
        <v/>
      </c>
      <c r="AD65" s="32" t="str">
        <f t="shared" si="2"/>
        <v/>
      </c>
      <c r="AE65" s="32" t="str">
        <f t="shared" si="3"/>
        <v/>
      </c>
      <c r="AF65" s="33" t="str">
        <f t="shared" si="4"/>
        <v/>
      </c>
      <c r="AG65" s="34" t="str">
        <f t="shared" si="5"/>
        <v/>
      </c>
      <c r="AH65" s="34" t="str">
        <f t="shared" si="10"/>
        <v/>
      </c>
    </row>
    <row r="66" spans="1:34" ht="15.75" hidden="1" thickBot="1">
      <c r="A66" s="2"/>
      <c r="B66" s="23"/>
      <c r="C66" s="23"/>
      <c r="D66" s="23"/>
      <c r="E66" s="23"/>
      <c r="F66" s="23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54" t="str">
        <f t="shared" si="8"/>
        <v/>
      </c>
      <c r="AB66" s="32" t="str">
        <f t="shared" si="9"/>
        <v/>
      </c>
      <c r="AC66" s="32" t="str">
        <f t="shared" si="6"/>
        <v/>
      </c>
      <c r="AD66" s="32" t="str">
        <f t="shared" si="2"/>
        <v/>
      </c>
      <c r="AE66" s="32" t="str">
        <f t="shared" si="3"/>
        <v/>
      </c>
      <c r="AF66" s="33" t="str">
        <f t="shared" si="4"/>
        <v/>
      </c>
      <c r="AG66" s="34" t="str">
        <f t="shared" si="5"/>
        <v/>
      </c>
      <c r="AH66" s="34" t="str">
        <f t="shared" si="10"/>
        <v/>
      </c>
    </row>
    <row r="67" spans="1:34" ht="15.75" hidden="1" thickBot="1">
      <c r="A67" s="2"/>
      <c r="B67" s="23"/>
      <c r="C67" s="23"/>
      <c r="D67" s="23"/>
      <c r="E67" s="23"/>
      <c r="F67" s="23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54" t="str">
        <f t="shared" si="8"/>
        <v/>
      </c>
      <c r="AB67" s="32" t="str">
        <f t="shared" si="9"/>
        <v/>
      </c>
      <c r="AC67" s="32" t="str">
        <f t="shared" si="6"/>
        <v/>
      </c>
      <c r="AD67" s="32" t="str">
        <f t="shared" si="2"/>
        <v/>
      </c>
      <c r="AE67" s="32" t="str">
        <f t="shared" si="3"/>
        <v/>
      </c>
      <c r="AF67" s="33" t="str">
        <f t="shared" si="4"/>
        <v/>
      </c>
      <c r="AG67" s="34" t="str">
        <f t="shared" si="5"/>
        <v/>
      </c>
      <c r="AH67" s="34" t="str">
        <f t="shared" si="10"/>
        <v/>
      </c>
    </row>
    <row r="68" spans="1:34" ht="15.75" hidden="1" thickBot="1">
      <c r="A68" s="2"/>
      <c r="B68" s="23"/>
      <c r="C68" s="23"/>
      <c r="D68" s="23"/>
      <c r="E68" s="23"/>
      <c r="F68" s="23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54" t="str">
        <f t="shared" si="8"/>
        <v/>
      </c>
      <c r="AB68" s="32" t="str">
        <f t="shared" si="9"/>
        <v/>
      </c>
      <c r="AC68" s="32" t="str">
        <f t="shared" si="6"/>
        <v/>
      </c>
      <c r="AD68" s="32" t="str">
        <f t="shared" si="2"/>
        <v/>
      </c>
      <c r="AE68" s="32" t="str">
        <f t="shared" si="3"/>
        <v/>
      </c>
      <c r="AF68" s="33" t="str">
        <f t="shared" si="4"/>
        <v/>
      </c>
      <c r="AG68" s="34" t="str">
        <f t="shared" si="5"/>
        <v/>
      </c>
      <c r="AH68" s="34" t="str">
        <f t="shared" si="10"/>
        <v/>
      </c>
    </row>
    <row r="69" spans="1:34" ht="15.75" hidden="1" thickBot="1">
      <c r="A69" s="2"/>
      <c r="B69" s="23"/>
      <c r="C69" s="23"/>
      <c r="D69" s="23"/>
      <c r="E69" s="23"/>
      <c r="F69" s="23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54" t="str">
        <f t="shared" si="8"/>
        <v/>
      </c>
      <c r="AB69" s="32" t="str">
        <f t="shared" si="9"/>
        <v/>
      </c>
      <c r="AC69" s="32" t="str">
        <f t="shared" si="6"/>
        <v/>
      </c>
      <c r="AD69" s="32" t="str">
        <f t="shared" si="2"/>
        <v/>
      </c>
      <c r="AE69" s="32" t="str">
        <f t="shared" si="3"/>
        <v/>
      </c>
      <c r="AF69" s="33" t="str">
        <f t="shared" si="4"/>
        <v/>
      </c>
      <c r="AG69" s="34" t="str">
        <f t="shared" si="5"/>
        <v/>
      </c>
      <c r="AH69" s="34" t="str">
        <f t="shared" si="10"/>
        <v/>
      </c>
    </row>
    <row r="70" spans="1:34" ht="15.75" hidden="1" thickBot="1">
      <c r="A70" s="2"/>
      <c r="B70" s="23"/>
      <c r="C70" s="23"/>
      <c r="D70" s="23"/>
      <c r="E70" s="23"/>
      <c r="F70" s="23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54" t="str">
        <f t="shared" si="8"/>
        <v/>
      </c>
      <c r="AB70" s="32" t="str">
        <f t="shared" si="9"/>
        <v/>
      </c>
      <c r="AC70" s="32" t="str">
        <f t="shared" si="6"/>
        <v/>
      </c>
      <c r="AD70" s="32" t="str">
        <f t="shared" si="2"/>
        <v/>
      </c>
      <c r="AE70" s="32" t="str">
        <f t="shared" si="3"/>
        <v/>
      </c>
      <c r="AF70" s="33" t="str">
        <f t="shared" si="4"/>
        <v/>
      </c>
      <c r="AG70" s="34" t="str">
        <f t="shared" si="5"/>
        <v/>
      </c>
      <c r="AH70" s="34" t="str">
        <f t="shared" si="10"/>
        <v/>
      </c>
    </row>
    <row r="71" spans="1:34" ht="15.75" hidden="1" thickBot="1">
      <c r="A71" s="2"/>
      <c r="B71" s="23"/>
      <c r="C71" s="23"/>
      <c r="D71" s="23"/>
      <c r="E71" s="23"/>
      <c r="F71" s="23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54" t="str">
        <f t="shared" si="8"/>
        <v/>
      </c>
      <c r="AB71" s="32" t="str">
        <f t="shared" si="9"/>
        <v/>
      </c>
      <c r="AC71" s="32" t="str">
        <f t="shared" si="6"/>
        <v/>
      </c>
      <c r="AD71" s="32" t="str">
        <f t="shared" si="2"/>
        <v/>
      </c>
      <c r="AE71" s="32" t="str">
        <f t="shared" si="3"/>
        <v/>
      </c>
      <c r="AF71" s="33" t="str">
        <f t="shared" si="4"/>
        <v/>
      </c>
      <c r="AG71" s="34" t="str">
        <f t="shared" si="5"/>
        <v/>
      </c>
      <c r="AH71" s="34" t="str">
        <f t="shared" si="10"/>
        <v/>
      </c>
    </row>
    <row r="72" spans="1:34" ht="15.75" hidden="1" thickBot="1">
      <c r="A72" s="2"/>
      <c r="B72" s="23"/>
      <c r="C72" s="23"/>
      <c r="D72" s="23"/>
      <c r="E72" s="23"/>
      <c r="F72" s="23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54" t="str">
        <f t="shared" si="8"/>
        <v/>
      </c>
      <c r="AB72" s="32" t="str">
        <f t="shared" si="9"/>
        <v/>
      </c>
      <c r="AC72" s="32" t="str">
        <f t="shared" si="6"/>
        <v/>
      </c>
      <c r="AD72" s="32" t="str">
        <f t="shared" si="2"/>
        <v/>
      </c>
      <c r="AE72" s="32" t="str">
        <f t="shared" si="3"/>
        <v/>
      </c>
      <c r="AF72" s="33" t="str">
        <f t="shared" si="4"/>
        <v/>
      </c>
      <c r="AG72" s="34" t="str">
        <f t="shared" si="5"/>
        <v/>
      </c>
      <c r="AH72" s="34" t="str">
        <f t="shared" si="10"/>
        <v/>
      </c>
    </row>
    <row r="73" spans="1:34" ht="15.75" hidden="1" thickBot="1">
      <c r="A73" s="2"/>
      <c r="B73" s="23"/>
      <c r="C73" s="23"/>
      <c r="D73" s="23"/>
      <c r="E73" s="23"/>
      <c r="F73" s="23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54" t="str">
        <f t="shared" si="8"/>
        <v/>
      </c>
      <c r="AB73" s="32" t="str">
        <f t="shared" si="9"/>
        <v/>
      </c>
      <c r="AC73" s="32" t="str">
        <f t="shared" si="6"/>
        <v/>
      </c>
      <c r="AD73" s="32" t="str">
        <f t="shared" si="2"/>
        <v/>
      </c>
      <c r="AE73" s="32" t="str">
        <f t="shared" si="3"/>
        <v/>
      </c>
      <c r="AF73" s="33" t="str">
        <f t="shared" si="4"/>
        <v/>
      </c>
      <c r="AG73" s="34" t="str">
        <f t="shared" si="5"/>
        <v/>
      </c>
      <c r="AH73" s="34" t="str">
        <f t="shared" si="10"/>
        <v/>
      </c>
    </row>
    <row r="74" spans="1:34" ht="15.75" hidden="1" thickBot="1">
      <c r="A74" s="2"/>
      <c r="B74" s="23"/>
      <c r="C74" s="23"/>
      <c r="D74" s="23"/>
      <c r="E74" s="23"/>
      <c r="F74" s="23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54" t="str">
        <f t="shared" si="8"/>
        <v/>
      </c>
      <c r="AB74" s="32" t="str">
        <f t="shared" si="9"/>
        <v/>
      </c>
      <c r="AC74" s="32" t="str">
        <f t="shared" ref="AC74:AC116" si="11">IF(SUM(B74:Z74)&gt;0,AB74+$AD$3*AF74,"")</f>
        <v/>
      </c>
      <c r="AD74" s="32" t="str">
        <f t="shared" ref="AD74:AD116" si="12">IF(SUM(B74:Z74)&gt;0,AB74-($AD$3*AF74),"")</f>
        <v/>
      </c>
      <c r="AE74" s="32" t="str">
        <f t="shared" ref="AE74:AE116" si="13">IF(SUM(B74:Z74)&gt;0,MAX(B74:Z74)-MIN(B74:Z74),"")</f>
        <v/>
      </c>
      <c r="AF74" s="33" t="str">
        <f t="shared" ref="AF74:AF116" si="14">IF(SUM(B74:Z74)&gt;0,AVERAGE($AE$9:$AE$116),"")</f>
        <v/>
      </c>
      <c r="AG74" s="34" t="str">
        <f t="shared" ref="AG74:AG116" si="15">IF(SUM(B74:Z74)&gt;0,$AD$5*AF74,"")</f>
        <v/>
      </c>
      <c r="AH74" s="34" t="str">
        <f t="shared" si="10"/>
        <v/>
      </c>
    </row>
    <row r="75" spans="1:34" ht="15.75" hidden="1" thickBot="1">
      <c r="A75" s="2"/>
      <c r="B75" s="23"/>
      <c r="C75" s="23"/>
      <c r="D75" s="23"/>
      <c r="E75" s="23"/>
      <c r="F75" s="23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54" t="str">
        <f t="shared" si="8"/>
        <v/>
      </c>
      <c r="AB75" s="32" t="str">
        <f t="shared" si="9"/>
        <v/>
      </c>
      <c r="AC75" s="32" t="str">
        <f t="shared" si="11"/>
        <v/>
      </c>
      <c r="AD75" s="32" t="str">
        <f t="shared" si="12"/>
        <v/>
      </c>
      <c r="AE75" s="32" t="str">
        <f t="shared" si="13"/>
        <v/>
      </c>
      <c r="AF75" s="33" t="str">
        <f t="shared" si="14"/>
        <v/>
      </c>
      <c r="AG75" s="34" t="str">
        <f t="shared" si="15"/>
        <v/>
      </c>
      <c r="AH75" s="34" t="str">
        <f t="shared" si="10"/>
        <v/>
      </c>
    </row>
    <row r="76" spans="1:34" ht="15.75" hidden="1" thickBot="1">
      <c r="A76" s="2"/>
      <c r="B76" s="23"/>
      <c r="C76" s="23"/>
      <c r="D76" s="23"/>
      <c r="E76" s="23"/>
      <c r="F76" s="23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54" t="str">
        <f t="shared" si="8"/>
        <v/>
      </c>
      <c r="AB76" s="32" t="str">
        <f t="shared" si="9"/>
        <v/>
      </c>
      <c r="AC76" s="32" t="str">
        <f t="shared" si="11"/>
        <v/>
      </c>
      <c r="AD76" s="32" t="str">
        <f t="shared" si="12"/>
        <v/>
      </c>
      <c r="AE76" s="32" t="str">
        <f t="shared" si="13"/>
        <v/>
      </c>
      <c r="AF76" s="33" t="str">
        <f t="shared" si="14"/>
        <v/>
      </c>
      <c r="AG76" s="34" t="str">
        <f t="shared" si="15"/>
        <v/>
      </c>
      <c r="AH76" s="34" t="str">
        <f t="shared" si="10"/>
        <v/>
      </c>
    </row>
    <row r="77" spans="1:34" ht="15.75" hidden="1" thickBot="1">
      <c r="A77" s="2"/>
      <c r="B77" s="23"/>
      <c r="C77" s="23"/>
      <c r="D77" s="23"/>
      <c r="E77" s="23"/>
      <c r="F77" s="23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54" t="str">
        <f t="shared" si="8"/>
        <v/>
      </c>
      <c r="AB77" s="32" t="str">
        <f t="shared" si="9"/>
        <v/>
      </c>
      <c r="AC77" s="32" t="str">
        <f t="shared" si="11"/>
        <v/>
      </c>
      <c r="AD77" s="32" t="str">
        <f t="shared" si="12"/>
        <v/>
      </c>
      <c r="AE77" s="32" t="str">
        <f t="shared" si="13"/>
        <v/>
      </c>
      <c r="AF77" s="33" t="str">
        <f t="shared" si="14"/>
        <v/>
      </c>
      <c r="AG77" s="34" t="str">
        <f t="shared" si="15"/>
        <v/>
      </c>
      <c r="AH77" s="34" t="str">
        <f t="shared" si="10"/>
        <v/>
      </c>
    </row>
    <row r="78" spans="1:34" ht="15.75" hidden="1" thickBot="1">
      <c r="A78" s="2"/>
      <c r="B78" s="23"/>
      <c r="C78" s="23"/>
      <c r="D78" s="23"/>
      <c r="E78" s="23"/>
      <c r="F78" s="23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54" t="str">
        <f t="shared" si="8"/>
        <v/>
      </c>
      <c r="AB78" s="32" t="str">
        <f t="shared" si="9"/>
        <v/>
      </c>
      <c r="AC78" s="32" t="str">
        <f t="shared" si="11"/>
        <v/>
      </c>
      <c r="AD78" s="32" t="str">
        <f t="shared" si="12"/>
        <v/>
      </c>
      <c r="AE78" s="32" t="str">
        <f t="shared" si="13"/>
        <v/>
      </c>
      <c r="AF78" s="33" t="str">
        <f t="shared" si="14"/>
        <v/>
      </c>
      <c r="AG78" s="34" t="str">
        <f t="shared" si="15"/>
        <v/>
      </c>
      <c r="AH78" s="34" t="str">
        <f t="shared" si="10"/>
        <v/>
      </c>
    </row>
    <row r="79" spans="1:34" ht="15.75" hidden="1" thickBot="1">
      <c r="A79" s="2"/>
      <c r="B79" s="23"/>
      <c r="C79" s="23"/>
      <c r="D79" s="23"/>
      <c r="E79" s="23"/>
      <c r="F79" s="23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54" t="str">
        <f t="shared" si="8"/>
        <v/>
      </c>
      <c r="AB79" s="32" t="str">
        <f t="shared" si="9"/>
        <v/>
      </c>
      <c r="AC79" s="32" t="str">
        <f t="shared" si="11"/>
        <v/>
      </c>
      <c r="AD79" s="32" t="str">
        <f t="shared" si="12"/>
        <v/>
      </c>
      <c r="AE79" s="32" t="str">
        <f t="shared" si="13"/>
        <v/>
      </c>
      <c r="AF79" s="33" t="str">
        <f t="shared" si="14"/>
        <v/>
      </c>
      <c r="AG79" s="34" t="str">
        <f t="shared" si="15"/>
        <v/>
      </c>
      <c r="AH79" s="34" t="str">
        <f t="shared" si="10"/>
        <v/>
      </c>
    </row>
    <row r="80" spans="1:34" ht="15.75" hidden="1" thickBot="1">
      <c r="A80" s="2"/>
      <c r="B80" s="23"/>
      <c r="C80" s="23"/>
      <c r="D80" s="23"/>
      <c r="E80" s="23"/>
      <c r="F80" s="23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54" t="str">
        <f t="shared" si="8"/>
        <v/>
      </c>
      <c r="AB80" s="32" t="str">
        <f t="shared" si="9"/>
        <v/>
      </c>
      <c r="AC80" s="32" t="str">
        <f t="shared" si="11"/>
        <v/>
      </c>
      <c r="AD80" s="32" t="str">
        <f t="shared" si="12"/>
        <v/>
      </c>
      <c r="AE80" s="32" t="str">
        <f t="shared" si="13"/>
        <v/>
      </c>
      <c r="AF80" s="33" t="str">
        <f t="shared" si="14"/>
        <v/>
      </c>
      <c r="AG80" s="34" t="str">
        <f t="shared" si="15"/>
        <v/>
      </c>
      <c r="AH80" s="34" t="str">
        <f t="shared" si="10"/>
        <v/>
      </c>
    </row>
    <row r="81" spans="1:34" ht="15.75" hidden="1" thickBot="1">
      <c r="A81" s="2"/>
      <c r="B81" s="23"/>
      <c r="C81" s="23"/>
      <c r="D81" s="23"/>
      <c r="E81" s="23"/>
      <c r="F81" s="23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54" t="str">
        <f t="shared" si="8"/>
        <v/>
      </c>
      <c r="AB81" s="32" t="str">
        <f t="shared" si="9"/>
        <v/>
      </c>
      <c r="AC81" s="32" t="str">
        <f t="shared" si="11"/>
        <v/>
      </c>
      <c r="AD81" s="32" t="str">
        <f t="shared" si="12"/>
        <v/>
      </c>
      <c r="AE81" s="32" t="str">
        <f t="shared" si="13"/>
        <v/>
      </c>
      <c r="AF81" s="33" t="str">
        <f t="shared" si="14"/>
        <v/>
      </c>
      <c r="AG81" s="34" t="str">
        <f t="shared" si="15"/>
        <v/>
      </c>
      <c r="AH81" s="34" t="str">
        <f t="shared" si="10"/>
        <v/>
      </c>
    </row>
    <row r="82" spans="1:34" ht="15.75" hidden="1" thickBot="1">
      <c r="A82" s="2"/>
      <c r="B82" s="23"/>
      <c r="C82" s="23"/>
      <c r="D82" s="23"/>
      <c r="E82" s="23"/>
      <c r="F82" s="23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54" t="str">
        <f t="shared" si="8"/>
        <v/>
      </c>
      <c r="AB82" s="32" t="str">
        <f t="shared" si="9"/>
        <v/>
      </c>
      <c r="AC82" s="32" t="str">
        <f t="shared" si="11"/>
        <v/>
      </c>
      <c r="AD82" s="32" t="str">
        <f t="shared" si="12"/>
        <v/>
      </c>
      <c r="AE82" s="32" t="str">
        <f t="shared" si="13"/>
        <v/>
      </c>
      <c r="AF82" s="33" t="str">
        <f t="shared" si="14"/>
        <v/>
      </c>
      <c r="AG82" s="34" t="str">
        <f t="shared" si="15"/>
        <v/>
      </c>
      <c r="AH82" s="34" t="str">
        <f t="shared" si="10"/>
        <v/>
      </c>
    </row>
    <row r="83" spans="1:34" ht="15.75" hidden="1" thickBot="1">
      <c r="A83" s="2"/>
      <c r="B83" s="23"/>
      <c r="C83" s="23"/>
      <c r="D83" s="23"/>
      <c r="E83" s="23"/>
      <c r="F83" s="23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54" t="str">
        <f t="shared" si="8"/>
        <v/>
      </c>
      <c r="AB83" s="32" t="str">
        <f t="shared" si="9"/>
        <v/>
      </c>
      <c r="AC83" s="32" t="str">
        <f t="shared" si="11"/>
        <v/>
      </c>
      <c r="AD83" s="32" t="str">
        <f t="shared" si="12"/>
        <v/>
      </c>
      <c r="AE83" s="32" t="str">
        <f t="shared" si="13"/>
        <v/>
      </c>
      <c r="AF83" s="33" t="str">
        <f t="shared" si="14"/>
        <v/>
      </c>
      <c r="AG83" s="34" t="str">
        <f t="shared" si="15"/>
        <v/>
      </c>
      <c r="AH83" s="34" t="str">
        <f t="shared" si="10"/>
        <v/>
      </c>
    </row>
    <row r="84" spans="1:34" ht="15.75" hidden="1" thickBot="1">
      <c r="A84" s="2"/>
      <c r="B84" s="23"/>
      <c r="C84" s="23"/>
      <c r="D84" s="23"/>
      <c r="E84" s="23"/>
      <c r="F84" s="23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54" t="str">
        <f t="shared" si="8"/>
        <v/>
      </c>
      <c r="AB84" s="32" t="str">
        <f t="shared" si="9"/>
        <v/>
      </c>
      <c r="AC84" s="32" t="str">
        <f t="shared" si="11"/>
        <v/>
      </c>
      <c r="AD84" s="32" t="str">
        <f t="shared" si="12"/>
        <v/>
      </c>
      <c r="AE84" s="32" t="str">
        <f t="shared" si="13"/>
        <v/>
      </c>
      <c r="AF84" s="33" t="str">
        <f t="shared" si="14"/>
        <v/>
      </c>
      <c r="AG84" s="34" t="str">
        <f t="shared" si="15"/>
        <v/>
      </c>
      <c r="AH84" s="34" t="str">
        <f t="shared" si="10"/>
        <v/>
      </c>
    </row>
    <row r="85" spans="1:34" ht="15.75" hidden="1" thickBot="1">
      <c r="A85" s="2"/>
      <c r="B85" s="23"/>
      <c r="C85" s="23"/>
      <c r="D85" s="23"/>
      <c r="E85" s="23"/>
      <c r="F85" s="23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54" t="str">
        <f t="shared" si="8"/>
        <v/>
      </c>
      <c r="AB85" s="32" t="str">
        <f t="shared" si="9"/>
        <v/>
      </c>
      <c r="AC85" s="32" t="str">
        <f t="shared" si="11"/>
        <v/>
      </c>
      <c r="AD85" s="32" t="str">
        <f t="shared" si="12"/>
        <v/>
      </c>
      <c r="AE85" s="32" t="str">
        <f t="shared" si="13"/>
        <v/>
      </c>
      <c r="AF85" s="33" t="str">
        <f t="shared" si="14"/>
        <v/>
      </c>
      <c r="AG85" s="34" t="str">
        <f t="shared" si="15"/>
        <v/>
      </c>
      <c r="AH85" s="34" t="str">
        <f t="shared" si="10"/>
        <v/>
      </c>
    </row>
    <row r="86" spans="1:34" ht="15.75" hidden="1" thickBot="1">
      <c r="A86" s="2"/>
      <c r="B86" s="23"/>
      <c r="C86" s="23"/>
      <c r="D86" s="23"/>
      <c r="E86" s="23"/>
      <c r="F86" s="23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54" t="str">
        <f t="shared" si="8"/>
        <v/>
      </c>
      <c r="AB86" s="32" t="str">
        <f t="shared" si="9"/>
        <v/>
      </c>
      <c r="AC86" s="32" t="str">
        <f t="shared" si="11"/>
        <v/>
      </c>
      <c r="AD86" s="32" t="str">
        <f t="shared" si="12"/>
        <v/>
      </c>
      <c r="AE86" s="32" t="str">
        <f t="shared" si="13"/>
        <v/>
      </c>
      <c r="AF86" s="33" t="str">
        <f t="shared" si="14"/>
        <v/>
      </c>
      <c r="AG86" s="34" t="str">
        <f t="shared" si="15"/>
        <v/>
      </c>
      <c r="AH86" s="34" t="str">
        <f t="shared" si="10"/>
        <v/>
      </c>
    </row>
    <row r="87" spans="1:34" ht="15.75" hidden="1" thickBot="1">
      <c r="A87" s="2"/>
      <c r="B87" s="23"/>
      <c r="C87" s="23"/>
      <c r="D87" s="23"/>
      <c r="E87" s="23"/>
      <c r="F87" s="23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54" t="str">
        <f t="shared" si="8"/>
        <v/>
      </c>
      <c r="AB87" s="32" t="str">
        <f t="shared" si="9"/>
        <v/>
      </c>
      <c r="AC87" s="32" t="str">
        <f t="shared" si="11"/>
        <v/>
      </c>
      <c r="AD87" s="32" t="str">
        <f t="shared" si="12"/>
        <v/>
      </c>
      <c r="AE87" s="32" t="str">
        <f t="shared" si="13"/>
        <v/>
      </c>
      <c r="AF87" s="33" t="str">
        <f t="shared" si="14"/>
        <v/>
      </c>
      <c r="AG87" s="34" t="str">
        <f t="shared" si="15"/>
        <v/>
      </c>
      <c r="AH87" s="34" t="str">
        <f t="shared" si="10"/>
        <v/>
      </c>
    </row>
    <row r="88" spans="1:34" ht="15.75" hidden="1" thickBot="1">
      <c r="A88" s="2"/>
      <c r="B88" s="23"/>
      <c r="C88" s="23"/>
      <c r="D88" s="23"/>
      <c r="E88" s="23"/>
      <c r="F88" s="23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54" t="str">
        <f t="shared" si="8"/>
        <v/>
      </c>
      <c r="AB88" s="32" t="str">
        <f t="shared" si="9"/>
        <v/>
      </c>
      <c r="AC88" s="32" t="str">
        <f t="shared" si="11"/>
        <v/>
      </c>
      <c r="AD88" s="32" t="str">
        <f t="shared" si="12"/>
        <v/>
      </c>
      <c r="AE88" s="32" t="str">
        <f t="shared" si="13"/>
        <v/>
      </c>
      <c r="AF88" s="33" t="str">
        <f t="shared" si="14"/>
        <v/>
      </c>
      <c r="AG88" s="34" t="str">
        <f t="shared" si="15"/>
        <v/>
      </c>
      <c r="AH88" s="34" t="str">
        <f t="shared" si="10"/>
        <v/>
      </c>
    </row>
    <row r="89" spans="1:34" ht="15.75" hidden="1" thickBot="1">
      <c r="A89" s="2"/>
      <c r="B89" s="23"/>
      <c r="C89" s="23"/>
      <c r="D89" s="23"/>
      <c r="E89" s="23"/>
      <c r="F89" s="23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54" t="str">
        <f t="shared" si="8"/>
        <v/>
      </c>
      <c r="AB89" s="32" t="str">
        <f t="shared" si="9"/>
        <v/>
      </c>
      <c r="AC89" s="32" t="str">
        <f t="shared" si="11"/>
        <v/>
      </c>
      <c r="AD89" s="32" t="str">
        <f t="shared" si="12"/>
        <v/>
      </c>
      <c r="AE89" s="32" t="str">
        <f t="shared" si="13"/>
        <v/>
      </c>
      <c r="AF89" s="33" t="str">
        <f t="shared" si="14"/>
        <v/>
      </c>
      <c r="AG89" s="34" t="str">
        <f t="shared" si="15"/>
        <v/>
      </c>
      <c r="AH89" s="34" t="str">
        <f t="shared" si="10"/>
        <v/>
      </c>
    </row>
    <row r="90" spans="1:34" ht="15.75" hidden="1" thickBot="1">
      <c r="A90" s="2"/>
      <c r="B90" s="23"/>
      <c r="C90" s="23"/>
      <c r="D90" s="23"/>
      <c r="E90" s="23"/>
      <c r="F90" s="23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54" t="str">
        <f t="shared" si="8"/>
        <v/>
      </c>
      <c r="AB90" s="32" t="str">
        <f t="shared" si="9"/>
        <v/>
      </c>
      <c r="AC90" s="32" t="str">
        <f t="shared" si="11"/>
        <v/>
      </c>
      <c r="AD90" s="32" t="str">
        <f t="shared" si="12"/>
        <v/>
      </c>
      <c r="AE90" s="32" t="str">
        <f t="shared" si="13"/>
        <v/>
      </c>
      <c r="AF90" s="33" t="str">
        <f t="shared" si="14"/>
        <v/>
      </c>
      <c r="AG90" s="34" t="str">
        <f t="shared" si="15"/>
        <v/>
      </c>
      <c r="AH90" s="34" t="str">
        <f t="shared" si="10"/>
        <v/>
      </c>
    </row>
    <row r="91" spans="1:34" ht="15.75" hidden="1" thickBot="1">
      <c r="A91" s="2"/>
      <c r="B91" s="23"/>
      <c r="C91" s="23"/>
      <c r="D91" s="23"/>
      <c r="E91" s="23"/>
      <c r="F91" s="23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54" t="str">
        <f t="shared" si="8"/>
        <v/>
      </c>
      <c r="AB91" s="32" t="str">
        <f t="shared" si="9"/>
        <v/>
      </c>
      <c r="AC91" s="32" t="str">
        <f t="shared" si="11"/>
        <v/>
      </c>
      <c r="AD91" s="32" t="str">
        <f t="shared" si="12"/>
        <v/>
      </c>
      <c r="AE91" s="32" t="str">
        <f t="shared" si="13"/>
        <v/>
      </c>
      <c r="AF91" s="33" t="str">
        <f t="shared" si="14"/>
        <v/>
      </c>
      <c r="AG91" s="34" t="str">
        <f t="shared" si="15"/>
        <v/>
      </c>
      <c r="AH91" s="34" t="str">
        <f t="shared" si="10"/>
        <v/>
      </c>
    </row>
    <row r="92" spans="1:34" ht="15.75" hidden="1" thickBot="1">
      <c r="A92" s="2"/>
      <c r="B92" s="23"/>
      <c r="C92" s="23"/>
      <c r="D92" s="23"/>
      <c r="E92" s="23"/>
      <c r="F92" s="23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54" t="str">
        <f t="shared" si="8"/>
        <v/>
      </c>
      <c r="AB92" s="32" t="str">
        <f t="shared" si="9"/>
        <v/>
      </c>
      <c r="AC92" s="32" t="str">
        <f t="shared" si="11"/>
        <v/>
      </c>
      <c r="AD92" s="32" t="str">
        <f t="shared" si="12"/>
        <v/>
      </c>
      <c r="AE92" s="32" t="str">
        <f t="shared" si="13"/>
        <v/>
      </c>
      <c r="AF92" s="33" t="str">
        <f t="shared" si="14"/>
        <v/>
      </c>
      <c r="AG92" s="34" t="str">
        <f t="shared" si="15"/>
        <v/>
      </c>
      <c r="AH92" s="34" t="str">
        <f t="shared" si="10"/>
        <v/>
      </c>
    </row>
    <row r="93" spans="1:34" ht="15.75" hidden="1" thickBot="1">
      <c r="A93" s="2"/>
      <c r="B93" s="23"/>
      <c r="C93" s="23"/>
      <c r="D93" s="23"/>
      <c r="E93" s="23"/>
      <c r="F93" s="23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54" t="str">
        <f t="shared" si="8"/>
        <v/>
      </c>
      <c r="AB93" s="32" t="str">
        <f t="shared" si="9"/>
        <v/>
      </c>
      <c r="AC93" s="32" t="str">
        <f t="shared" si="11"/>
        <v/>
      </c>
      <c r="AD93" s="32" t="str">
        <f t="shared" si="12"/>
        <v/>
      </c>
      <c r="AE93" s="32" t="str">
        <f t="shared" si="13"/>
        <v/>
      </c>
      <c r="AF93" s="33" t="str">
        <f t="shared" si="14"/>
        <v/>
      </c>
      <c r="AG93" s="34" t="str">
        <f t="shared" si="15"/>
        <v/>
      </c>
      <c r="AH93" s="34" t="str">
        <f t="shared" si="10"/>
        <v/>
      </c>
    </row>
    <row r="94" spans="1:34" ht="15.75" hidden="1" thickBot="1">
      <c r="A94" s="2"/>
      <c r="B94" s="23"/>
      <c r="C94" s="23"/>
      <c r="D94" s="23"/>
      <c r="E94" s="23"/>
      <c r="F94" s="23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54" t="str">
        <f t="shared" si="8"/>
        <v/>
      </c>
      <c r="AB94" s="32" t="str">
        <f t="shared" si="9"/>
        <v/>
      </c>
      <c r="AC94" s="32" t="str">
        <f t="shared" si="11"/>
        <v/>
      </c>
      <c r="AD94" s="32" t="str">
        <f t="shared" si="12"/>
        <v/>
      </c>
      <c r="AE94" s="32" t="str">
        <f t="shared" si="13"/>
        <v/>
      </c>
      <c r="AF94" s="33" t="str">
        <f t="shared" si="14"/>
        <v/>
      </c>
      <c r="AG94" s="34" t="str">
        <f t="shared" si="15"/>
        <v/>
      </c>
      <c r="AH94" s="34" t="str">
        <f t="shared" si="10"/>
        <v/>
      </c>
    </row>
    <row r="95" spans="1:34" ht="15.75" hidden="1" thickBot="1">
      <c r="A95" s="2"/>
      <c r="B95" s="23"/>
      <c r="C95" s="23"/>
      <c r="D95" s="23"/>
      <c r="E95" s="23"/>
      <c r="F95" s="23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54" t="str">
        <f t="shared" si="8"/>
        <v/>
      </c>
      <c r="AB95" s="32" t="str">
        <f t="shared" si="9"/>
        <v/>
      </c>
      <c r="AC95" s="32" t="str">
        <f t="shared" si="11"/>
        <v/>
      </c>
      <c r="AD95" s="32" t="str">
        <f t="shared" si="12"/>
        <v/>
      </c>
      <c r="AE95" s="32" t="str">
        <f t="shared" si="13"/>
        <v/>
      </c>
      <c r="AF95" s="33" t="str">
        <f t="shared" si="14"/>
        <v/>
      </c>
      <c r="AG95" s="34" t="str">
        <f t="shared" si="15"/>
        <v/>
      </c>
      <c r="AH95" s="34" t="str">
        <f t="shared" si="10"/>
        <v/>
      </c>
    </row>
    <row r="96" spans="1:34" ht="15.75" hidden="1" thickBot="1">
      <c r="A96" s="2"/>
      <c r="B96" s="23"/>
      <c r="C96" s="23"/>
      <c r="D96" s="23"/>
      <c r="E96" s="23"/>
      <c r="F96" s="23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54" t="str">
        <f t="shared" si="8"/>
        <v/>
      </c>
      <c r="AB96" s="32" t="str">
        <f t="shared" si="9"/>
        <v/>
      </c>
      <c r="AC96" s="32" t="str">
        <f t="shared" si="11"/>
        <v/>
      </c>
      <c r="AD96" s="32" t="str">
        <f t="shared" si="12"/>
        <v/>
      </c>
      <c r="AE96" s="32" t="str">
        <f t="shared" si="13"/>
        <v/>
      </c>
      <c r="AF96" s="33" t="str">
        <f t="shared" si="14"/>
        <v/>
      </c>
      <c r="AG96" s="34" t="str">
        <f t="shared" si="15"/>
        <v/>
      </c>
      <c r="AH96" s="34" t="str">
        <f t="shared" si="10"/>
        <v/>
      </c>
    </row>
    <row r="97" spans="1:34" ht="15.75" hidden="1" thickBot="1">
      <c r="A97" s="2"/>
      <c r="B97" s="23"/>
      <c r="C97" s="23"/>
      <c r="D97" s="23"/>
      <c r="E97" s="23"/>
      <c r="F97" s="23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54" t="str">
        <f t="shared" si="8"/>
        <v/>
      </c>
      <c r="AB97" s="32" t="str">
        <f t="shared" si="9"/>
        <v/>
      </c>
      <c r="AC97" s="32" t="str">
        <f t="shared" si="11"/>
        <v/>
      </c>
      <c r="AD97" s="32" t="str">
        <f t="shared" si="12"/>
        <v/>
      </c>
      <c r="AE97" s="32" t="str">
        <f t="shared" si="13"/>
        <v/>
      </c>
      <c r="AF97" s="33" t="str">
        <f t="shared" si="14"/>
        <v/>
      </c>
      <c r="AG97" s="34" t="str">
        <f t="shared" si="15"/>
        <v/>
      </c>
      <c r="AH97" s="34" t="str">
        <f t="shared" si="10"/>
        <v/>
      </c>
    </row>
    <row r="98" spans="1:34" ht="15.75" hidden="1" thickBot="1">
      <c r="A98" s="2"/>
      <c r="B98" s="23"/>
      <c r="C98" s="23"/>
      <c r="D98" s="23"/>
      <c r="E98" s="23"/>
      <c r="F98" s="23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54" t="str">
        <f t="shared" si="8"/>
        <v/>
      </c>
      <c r="AB98" s="32" t="str">
        <f t="shared" si="9"/>
        <v/>
      </c>
      <c r="AC98" s="32" t="str">
        <f t="shared" si="11"/>
        <v/>
      </c>
      <c r="AD98" s="32" t="str">
        <f t="shared" si="12"/>
        <v/>
      </c>
      <c r="AE98" s="32" t="str">
        <f t="shared" si="13"/>
        <v/>
      </c>
      <c r="AF98" s="33" t="str">
        <f t="shared" si="14"/>
        <v/>
      </c>
      <c r="AG98" s="34" t="str">
        <f t="shared" si="15"/>
        <v/>
      </c>
      <c r="AH98" s="34" t="str">
        <f t="shared" si="10"/>
        <v/>
      </c>
    </row>
    <row r="99" spans="1:34" ht="15.75" hidden="1" thickBot="1">
      <c r="A99" s="2"/>
      <c r="B99" s="23"/>
      <c r="C99" s="23"/>
      <c r="D99" s="23"/>
      <c r="E99" s="23"/>
      <c r="F99" s="23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54" t="str">
        <f t="shared" si="8"/>
        <v/>
      </c>
      <c r="AB99" s="32" t="str">
        <f t="shared" si="9"/>
        <v/>
      </c>
      <c r="AC99" s="32" t="str">
        <f t="shared" si="11"/>
        <v/>
      </c>
      <c r="AD99" s="32" t="str">
        <f t="shared" si="12"/>
        <v/>
      </c>
      <c r="AE99" s="32" t="str">
        <f t="shared" si="13"/>
        <v/>
      </c>
      <c r="AF99" s="33" t="str">
        <f t="shared" si="14"/>
        <v/>
      </c>
      <c r="AG99" s="34" t="str">
        <f t="shared" si="15"/>
        <v/>
      </c>
      <c r="AH99" s="34" t="str">
        <f t="shared" si="10"/>
        <v/>
      </c>
    </row>
    <row r="100" spans="1:34" ht="15.75" hidden="1" thickBot="1">
      <c r="A100" s="2"/>
      <c r="B100" s="23"/>
      <c r="C100" s="23"/>
      <c r="D100" s="23"/>
      <c r="E100" s="23"/>
      <c r="F100" s="23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54" t="str">
        <f t="shared" si="8"/>
        <v/>
      </c>
      <c r="AB100" s="32" t="str">
        <f t="shared" si="9"/>
        <v/>
      </c>
      <c r="AC100" s="32" t="str">
        <f t="shared" si="11"/>
        <v/>
      </c>
      <c r="AD100" s="32" t="str">
        <f t="shared" si="12"/>
        <v/>
      </c>
      <c r="AE100" s="32" t="str">
        <f t="shared" si="13"/>
        <v/>
      </c>
      <c r="AF100" s="33" t="str">
        <f t="shared" si="14"/>
        <v/>
      </c>
      <c r="AG100" s="34" t="str">
        <f t="shared" si="15"/>
        <v/>
      </c>
      <c r="AH100" s="34" t="str">
        <f t="shared" si="10"/>
        <v/>
      </c>
    </row>
    <row r="101" spans="1:34" ht="15.75" hidden="1" thickBot="1">
      <c r="A101" s="2"/>
      <c r="B101" s="23"/>
      <c r="C101" s="23"/>
      <c r="D101" s="23"/>
      <c r="E101" s="23"/>
      <c r="F101" s="23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54" t="str">
        <f t="shared" si="8"/>
        <v/>
      </c>
      <c r="AB101" s="32" t="str">
        <f t="shared" si="9"/>
        <v/>
      </c>
      <c r="AC101" s="32" t="str">
        <f t="shared" si="11"/>
        <v/>
      </c>
      <c r="AD101" s="32" t="str">
        <f t="shared" si="12"/>
        <v/>
      </c>
      <c r="AE101" s="32" t="str">
        <f t="shared" si="13"/>
        <v/>
      </c>
      <c r="AF101" s="33" t="str">
        <f t="shared" si="14"/>
        <v/>
      </c>
      <c r="AG101" s="34" t="str">
        <f t="shared" si="15"/>
        <v/>
      </c>
      <c r="AH101" s="34" t="str">
        <f t="shared" si="10"/>
        <v/>
      </c>
    </row>
    <row r="102" spans="1:34" ht="15.75" hidden="1" thickBot="1">
      <c r="A102" s="2"/>
      <c r="B102" s="23"/>
      <c r="C102" s="23"/>
      <c r="D102" s="23"/>
      <c r="E102" s="23"/>
      <c r="F102" s="23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54" t="str">
        <f t="shared" si="8"/>
        <v/>
      </c>
      <c r="AB102" s="32" t="str">
        <f t="shared" si="9"/>
        <v/>
      </c>
      <c r="AC102" s="32" t="str">
        <f t="shared" si="11"/>
        <v/>
      </c>
      <c r="AD102" s="32" t="str">
        <f t="shared" si="12"/>
        <v/>
      </c>
      <c r="AE102" s="32" t="str">
        <f t="shared" si="13"/>
        <v/>
      </c>
      <c r="AF102" s="33" t="str">
        <f t="shared" si="14"/>
        <v/>
      </c>
      <c r="AG102" s="34" t="str">
        <f t="shared" si="15"/>
        <v/>
      </c>
      <c r="AH102" s="34" t="str">
        <f t="shared" si="10"/>
        <v/>
      </c>
    </row>
    <row r="103" spans="1:34" ht="15.75" hidden="1" thickBot="1">
      <c r="A103" s="2"/>
      <c r="B103" s="23"/>
      <c r="C103" s="23"/>
      <c r="D103" s="23"/>
      <c r="E103" s="23"/>
      <c r="F103" s="23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54" t="str">
        <f t="shared" si="8"/>
        <v/>
      </c>
      <c r="AB103" s="32" t="str">
        <f t="shared" si="9"/>
        <v/>
      </c>
      <c r="AC103" s="32" t="str">
        <f t="shared" si="11"/>
        <v/>
      </c>
      <c r="AD103" s="32" t="str">
        <f t="shared" si="12"/>
        <v/>
      </c>
      <c r="AE103" s="32" t="str">
        <f t="shared" si="13"/>
        <v/>
      </c>
      <c r="AF103" s="33" t="str">
        <f t="shared" si="14"/>
        <v/>
      </c>
      <c r="AG103" s="34" t="str">
        <f t="shared" si="15"/>
        <v/>
      </c>
      <c r="AH103" s="34" t="str">
        <f t="shared" si="10"/>
        <v/>
      </c>
    </row>
    <row r="104" spans="1:34" ht="15.75" hidden="1" thickBot="1">
      <c r="A104" s="2"/>
      <c r="B104" s="23"/>
      <c r="C104" s="23"/>
      <c r="D104" s="23"/>
      <c r="E104" s="23"/>
      <c r="F104" s="23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54" t="str">
        <f t="shared" si="8"/>
        <v/>
      </c>
      <c r="AB104" s="32" t="str">
        <f t="shared" si="9"/>
        <v/>
      </c>
      <c r="AC104" s="32" t="str">
        <f t="shared" si="11"/>
        <v/>
      </c>
      <c r="AD104" s="32" t="str">
        <f t="shared" si="12"/>
        <v/>
      </c>
      <c r="AE104" s="32" t="str">
        <f t="shared" si="13"/>
        <v/>
      </c>
      <c r="AF104" s="33" t="str">
        <f t="shared" si="14"/>
        <v/>
      </c>
      <c r="AG104" s="34" t="str">
        <f t="shared" si="15"/>
        <v/>
      </c>
      <c r="AH104" s="34" t="str">
        <f t="shared" si="10"/>
        <v/>
      </c>
    </row>
    <row r="105" spans="1:34" ht="15.75" hidden="1" thickBot="1">
      <c r="A105" s="2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54" t="str">
        <f t="shared" ref="AA105:AA116" si="16">IF(SUM(B105:Z105)&gt;0,AVERAGE(B105:Z105),"")</f>
        <v/>
      </c>
      <c r="AB105" s="32" t="str">
        <f t="shared" ref="AB105:AB116" si="17">IF(SUM(B105:Z105)&gt;0,AVERAGE($AA$9:$AA$116),"")</f>
        <v/>
      </c>
      <c r="AC105" s="32" t="str">
        <f t="shared" si="11"/>
        <v/>
      </c>
      <c r="AD105" s="32" t="str">
        <f t="shared" si="12"/>
        <v/>
      </c>
      <c r="AE105" s="32" t="str">
        <f t="shared" si="13"/>
        <v/>
      </c>
      <c r="AF105" s="33" t="str">
        <f t="shared" si="14"/>
        <v/>
      </c>
      <c r="AG105" s="34" t="str">
        <f t="shared" si="15"/>
        <v/>
      </c>
      <c r="AH105" s="34" t="str">
        <f t="shared" ref="AH105:AH116" si="18">IF(SUM(B105:Z105)&gt;0,$AD$4*AF105,"")</f>
        <v/>
      </c>
    </row>
    <row r="106" spans="1:34" ht="15.75" hidden="1" thickBot="1">
      <c r="A106" s="2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54" t="str">
        <f t="shared" si="16"/>
        <v/>
      </c>
      <c r="AB106" s="32" t="str">
        <f t="shared" si="17"/>
        <v/>
      </c>
      <c r="AC106" s="32" t="str">
        <f t="shared" si="11"/>
        <v/>
      </c>
      <c r="AD106" s="32" t="str">
        <f t="shared" si="12"/>
        <v/>
      </c>
      <c r="AE106" s="32" t="str">
        <f t="shared" si="13"/>
        <v/>
      </c>
      <c r="AF106" s="33" t="str">
        <f t="shared" si="14"/>
        <v/>
      </c>
      <c r="AG106" s="34" t="str">
        <f t="shared" si="15"/>
        <v/>
      </c>
      <c r="AH106" s="34" t="str">
        <f t="shared" si="18"/>
        <v/>
      </c>
    </row>
    <row r="107" spans="1:34" ht="15.75" hidden="1" thickBot="1">
      <c r="A107" s="2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54" t="str">
        <f t="shared" si="16"/>
        <v/>
      </c>
      <c r="AB107" s="32" t="str">
        <f t="shared" si="17"/>
        <v/>
      </c>
      <c r="AC107" s="32" t="str">
        <f t="shared" si="11"/>
        <v/>
      </c>
      <c r="AD107" s="32" t="str">
        <f t="shared" si="12"/>
        <v/>
      </c>
      <c r="AE107" s="32" t="str">
        <f t="shared" si="13"/>
        <v/>
      </c>
      <c r="AF107" s="33" t="str">
        <f t="shared" si="14"/>
        <v/>
      </c>
      <c r="AG107" s="34" t="str">
        <f t="shared" si="15"/>
        <v/>
      </c>
      <c r="AH107" s="34" t="str">
        <f t="shared" si="18"/>
        <v/>
      </c>
    </row>
    <row r="108" spans="1:34" ht="15.75" hidden="1" thickBot="1">
      <c r="A108" s="2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54" t="str">
        <f t="shared" si="16"/>
        <v/>
      </c>
      <c r="AB108" s="32" t="str">
        <f t="shared" si="17"/>
        <v/>
      </c>
      <c r="AC108" s="32" t="str">
        <f t="shared" si="11"/>
        <v/>
      </c>
      <c r="AD108" s="32" t="str">
        <f t="shared" si="12"/>
        <v/>
      </c>
      <c r="AE108" s="32" t="str">
        <f t="shared" si="13"/>
        <v/>
      </c>
      <c r="AF108" s="33" t="str">
        <f t="shared" si="14"/>
        <v/>
      </c>
      <c r="AG108" s="34" t="str">
        <f t="shared" si="15"/>
        <v/>
      </c>
      <c r="AH108" s="34" t="str">
        <f t="shared" si="18"/>
        <v/>
      </c>
    </row>
    <row r="109" spans="1:34" ht="15.75" hidden="1" thickBot="1">
      <c r="A109" s="2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54" t="str">
        <f t="shared" si="16"/>
        <v/>
      </c>
      <c r="AB109" s="32" t="str">
        <f t="shared" si="17"/>
        <v/>
      </c>
      <c r="AC109" s="32" t="str">
        <f t="shared" si="11"/>
        <v/>
      </c>
      <c r="AD109" s="32" t="str">
        <f t="shared" si="12"/>
        <v/>
      </c>
      <c r="AE109" s="32" t="str">
        <f t="shared" si="13"/>
        <v/>
      </c>
      <c r="AF109" s="33" t="str">
        <f t="shared" si="14"/>
        <v/>
      </c>
      <c r="AG109" s="34" t="str">
        <f t="shared" si="15"/>
        <v/>
      </c>
      <c r="AH109" s="34" t="str">
        <f t="shared" si="18"/>
        <v/>
      </c>
    </row>
    <row r="110" spans="1:34" ht="15.75" hidden="1" thickBot="1">
      <c r="A110" s="2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54" t="str">
        <f t="shared" si="16"/>
        <v/>
      </c>
      <c r="AB110" s="32" t="str">
        <f t="shared" si="17"/>
        <v/>
      </c>
      <c r="AC110" s="32" t="str">
        <f t="shared" si="11"/>
        <v/>
      </c>
      <c r="AD110" s="32" t="str">
        <f t="shared" si="12"/>
        <v/>
      </c>
      <c r="AE110" s="32" t="str">
        <f t="shared" si="13"/>
        <v/>
      </c>
      <c r="AF110" s="33" t="str">
        <f t="shared" si="14"/>
        <v/>
      </c>
      <c r="AG110" s="34" t="str">
        <f t="shared" si="15"/>
        <v/>
      </c>
      <c r="AH110" s="34" t="str">
        <f t="shared" si="18"/>
        <v/>
      </c>
    </row>
    <row r="111" spans="1:34" ht="15.75" hidden="1" thickBot="1">
      <c r="A111" s="2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54" t="str">
        <f t="shared" si="16"/>
        <v/>
      </c>
      <c r="AB111" s="32" t="str">
        <f t="shared" si="17"/>
        <v/>
      </c>
      <c r="AC111" s="32" t="str">
        <f t="shared" si="11"/>
        <v/>
      </c>
      <c r="AD111" s="32" t="str">
        <f t="shared" si="12"/>
        <v/>
      </c>
      <c r="AE111" s="32" t="str">
        <f t="shared" si="13"/>
        <v/>
      </c>
      <c r="AF111" s="33" t="str">
        <f t="shared" si="14"/>
        <v/>
      </c>
      <c r="AG111" s="34" t="str">
        <f t="shared" si="15"/>
        <v/>
      </c>
      <c r="AH111" s="34" t="str">
        <f t="shared" si="18"/>
        <v/>
      </c>
    </row>
    <row r="112" spans="1:34" ht="15.75" hidden="1" thickBot="1">
      <c r="A112" s="2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54" t="str">
        <f t="shared" si="16"/>
        <v/>
      </c>
      <c r="AB112" s="32" t="str">
        <f t="shared" si="17"/>
        <v/>
      </c>
      <c r="AC112" s="32" t="str">
        <f t="shared" si="11"/>
        <v/>
      </c>
      <c r="AD112" s="32" t="str">
        <f t="shared" si="12"/>
        <v/>
      </c>
      <c r="AE112" s="32" t="str">
        <f t="shared" si="13"/>
        <v/>
      </c>
      <c r="AF112" s="33" t="str">
        <f t="shared" si="14"/>
        <v/>
      </c>
      <c r="AG112" s="34" t="str">
        <f t="shared" si="15"/>
        <v/>
      </c>
      <c r="AH112" s="34" t="str">
        <f t="shared" si="18"/>
        <v/>
      </c>
    </row>
    <row r="113" spans="1:34" ht="15.75" hidden="1" thickBot="1">
      <c r="A113" s="2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54" t="str">
        <f t="shared" si="16"/>
        <v/>
      </c>
      <c r="AB113" s="32" t="str">
        <f t="shared" si="17"/>
        <v/>
      </c>
      <c r="AC113" s="32" t="str">
        <f t="shared" si="11"/>
        <v/>
      </c>
      <c r="AD113" s="32" t="str">
        <f t="shared" si="12"/>
        <v/>
      </c>
      <c r="AE113" s="32" t="str">
        <f t="shared" si="13"/>
        <v/>
      </c>
      <c r="AF113" s="33" t="str">
        <f t="shared" si="14"/>
        <v/>
      </c>
      <c r="AG113" s="34" t="str">
        <f t="shared" si="15"/>
        <v/>
      </c>
      <c r="AH113" s="34" t="str">
        <f t="shared" si="18"/>
        <v/>
      </c>
    </row>
    <row r="114" spans="1:34" ht="15.75" hidden="1" thickBot="1">
      <c r="A114" s="2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54" t="str">
        <f t="shared" si="16"/>
        <v/>
      </c>
      <c r="AB114" s="32" t="str">
        <f t="shared" si="17"/>
        <v/>
      </c>
      <c r="AC114" s="32" t="str">
        <f t="shared" si="11"/>
        <v/>
      </c>
      <c r="AD114" s="32" t="str">
        <f t="shared" si="12"/>
        <v/>
      </c>
      <c r="AE114" s="32" t="str">
        <f t="shared" si="13"/>
        <v/>
      </c>
      <c r="AF114" s="33" t="str">
        <f t="shared" si="14"/>
        <v/>
      </c>
      <c r="AG114" s="34" t="str">
        <f t="shared" si="15"/>
        <v/>
      </c>
      <c r="AH114" s="34" t="str">
        <f t="shared" si="18"/>
        <v/>
      </c>
    </row>
    <row r="115" spans="1:34" ht="15.75" hidden="1" thickBot="1">
      <c r="A115" s="2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54" t="str">
        <f t="shared" si="16"/>
        <v/>
      </c>
      <c r="AB115" s="32" t="str">
        <f t="shared" si="17"/>
        <v/>
      </c>
      <c r="AC115" s="32" t="str">
        <f t="shared" si="11"/>
        <v/>
      </c>
      <c r="AD115" s="32" t="str">
        <f t="shared" si="12"/>
        <v/>
      </c>
      <c r="AE115" s="32" t="str">
        <f t="shared" si="13"/>
        <v/>
      </c>
      <c r="AF115" s="33" t="str">
        <f t="shared" si="14"/>
        <v/>
      </c>
      <c r="AG115" s="34" t="str">
        <f t="shared" si="15"/>
        <v/>
      </c>
      <c r="AH115" s="34" t="str">
        <f t="shared" si="18"/>
        <v/>
      </c>
    </row>
    <row r="116" spans="1:34" ht="15.75" hidden="1" thickBot="1">
      <c r="A116" s="2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54" t="str">
        <f t="shared" si="16"/>
        <v/>
      </c>
      <c r="AB116" s="32" t="str">
        <f t="shared" si="17"/>
        <v/>
      </c>
      <c r="AC116" s="32" t="str">
        <f t="shared" si="11"/>
        <v/>
      </c>
      <c r="AD116" s="32" t="str">
        <f t="shared" si="12"/>
        <v/>
      </c>
      <c r="AE116" s="32" t="str">
        <f t="shared" si="13"/>
        <v/>
      </c>
      <c r="AF116" s="33" t="str">
        <f t="shared" si="14"/>
        <v/>
      </c>
      <c r="AG116" s="34" t="str">
        <f t="shared" si="15"/>
        <v/>
      </c>
      <c r="AH116" s="34" t="str">
        <f t="shared" si="18"/>
        <v/>
      </c>
    </row>
  </sheetData>
  <mergeCells count="12">
    <mergeCell ref="B7:Z7"/>
    <mergeCell ref="AA7:AD7"/>
    <mergeCell ref="AE7:AH7"/>
    <mergeCell ref="AL8:AM8"/>
    <mergeCell ref="AO8:AP8"/>
    <mergeCell ref="AS8:AT8"/>
    <mergeCell ref="AV8:AW8"/>
    <mergeCell ref="AB1:AC1"/>
    <mergeCell ref="AB2:AC2"/>
    <mergeCell ref="AN3:AU3"/>
    <mergeCell ref="AK6:AQ6"/>
    <mergeCell ref="AR6:AX6"/>
  </mergeCells>
  <conditionalFormatting sqref="AA9:AA116">
    <cfRule type="expression" dxfId="24" priority="1">
      <formula>AA9&lt;AD9</formula>
    </cfRule>
    <cfRule type="expression" dxfId="23" priority="2">
      <formula>AA9&gt;AC9</formula>
    </cfRule>
  </conditionalFormatting>
  <conditionalFormatting sqref="BE5:BE10">
    <cfRule type="expression" dxfId="22" priority="3">
      <formula>"$BE&gt;$BF$5"</formula>
    </cfRule>
  </conditionalFormatting>
  <hyperlinks>
    <hyperlink ref="B2" location="INICIO!A1" display="INICIO" xr:uid="{00000000-0004-0000-0200-000000000000}"/>
    <hyperlink ref="B3" location="'FACTORES '!A1" display="ATRÁS" xr:uid="{00000000-0004-0000-0200-000001000000}"/>
    <hyperlink ref="B5" location="RESULTADOSXR" display="RESULTADOS" xr:uid="{00000000-0004-0000-0200-000002000000}"/>
    <hyperlink ref="B4" location="'GRÁFICO X-S'!A1" display="SIGUIENTE" xr:uid="{00000000-0004-0000-0200-000003000000}"/>
    <hyperlink ref="BA2" location="INICIO!A1" display="INICIO" xr:uid="{00000000-0004-0000-0200-000004000000}"/>
    <hyperlink ref="BA3" location="'FACTORES '!A1" display="ATRÁS" xr:uid="{00000000-0004-0000-0200-000005000000}"/>
    <hyperlink ref="BA4" location="'GRÁFICO X-S'!A1" display="SIGUIENTE" xr:uid="{00000000-0004-0000-0200-000006000000}"/>
  </hyperlinks>
  <pageMargins left="0.7" right="0.7" top="0.75" bottom="0.75" header="0.3" footer="0.3"/>
  <pageSetup paperSize="9" orientation="portrait" horizontalDpi="0" verticalDpi="0" r:id="rId1"/>
  <ignoredErrors>
    <ignoredError sqref="AA9:AH116" formulaRange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4" tint="0.39997558519241921"/>
  </sheetPr>
  <dimension ref="A1:AZ116"/>
  <sheetViews>
    <sheetView zoomScale="98" zoomScaleNormal="98" workbookViewId="0">
      <selection activeCell="B2" sqref="B2"/>
    </sheetView>
  </sheetViews>
  <sheetFormatPr baseColWidth="10" defaultRowHeight="15"/>
  <cols>
    <col min="1" max="1" width="11.42578125" customWidth="1"/>
    <col min="2" max="2" width="16" customWidth="1"/>
    <col min="6" max="9" width="11.42578125" customWidth="1"/>
    <col min="10" max="20" width="16" customWidth="1"/>
    <col min="21" max="26" width="11.42578125" customWidth="1"/>
    <col min="28" max="28" width="14.140625" customWidth="1"/>
    <col min="36" max="36" width="17.28515625" customWidth="1"/>
    <col min="39" max="39" width="17.7109375" customWidth="1"/>
    <col min="40" max="40" width="11.42578125" customWidth="1"/>
    <col min="41" max="41" width="14.5703125" customWidth="1"/>
    <col min="42" max="42" width="13.7109375" customWidth="1"/>
    <col min="43" max="44" width="11.42578125" customWidth="1"/>
    <col min="46" max="46" width="15" customWidth="1"/>
    <col min="49" max="49" width="16.5703125" customWidth="1"/>
    <col min="50" max="50" width="17.85546875" customWidth="1"/>
    <col min="52" max="52" width="17.28515625" customWidth="1"/>
    <col min="1999" max="2000" width="2.7109375" customWidth="1"/>
    <col min="2003" max="2003" width="2.7109375" customWidth="1"/>
  </cols>
  <sheetData>
    <row r="1" spans="1:52" ht="15.75" thickBot="1">
      <c r="AB1" s="247" t="s">
        <v>2</v>
      </c>
      <c r="AC1" s="248"/>
      <c r="AD1" s="22"/>
      <c r="AK1" s="57"/>
      <c r="AL1" s="57"/>
      <c r="AM1" s="57"/>
      <c r="AN1" s="57"/>
      <c r="AO1" s="49"/>
      <c r="AP1" s="49"/>
      <c r="AQ1" s="49"/>
      <c r="AR1" s="49"/>
    </row>
    <row r="2" spans="1:52" ht="19.5" thickBot="1">
      <c r="B2" s="43" t="s">
        <v>27</v>
      </c>
      <c r="AB2" s="247" t="s">
        <v>3</v>
      </c>
      <c r="AC2" s="248"/>
      <c r="AD2" s="42">
        <f>COUNT(B10:Z10)</f>
        <v>12</v>
      </c>
      <c r="AZ2" s="43" t="s">
        <v>27</v>
      </c>
    </row>
    <row r="3" spans="1:52" ht="24" thickBot="1">
      <c r="B3" s="45" t="s">
        <v>29</v>
      </c>
      <c r="K3" s="53"/>
      <c r="L3" s="53"/>
      <c r="M3" s="53"/>
      <c r="N3" s="53"/>
      <c r="O3" s="53"/>
      <c r="P3" s="53"/>
      <c r="Q3" s="53"/>
      <c r="R3" s="53"/>
      <c r="S3" s="53"/>
      <c r="T3" s="53"/>
      <c r="AB3" s="50" t="s">
        <v>4</v>
      </c>
      <c r="AC3" s="39" t="s">
        <v>19</v>
      </c>
      <c r="AD3" s="42">
        <f>VLOOKUP($AD$2,FACTORES,4,FALSE)</f>
        <v>0.88600000000000001</v>
      </c>
      <c r="AJ3" s="58"/>
      <c r="AK3" s="58"/>
      <c r="AM3" s="58"/>
      <c r="AN3" s="249" t="s">
        <v>30</v>
      </c>
      <c r="AO3" s="250"/>
      <c r="AP3" s="250"/>
      <c r="AQ3" s="250"/>
      <c r="AR3" s="250"/>
      <c r="AS3" s="250"/>
      <c r="AT3" s="250"/>
      <c r="AU3" s="251"/>
      <c r="AZ3" s="45" t="s">
        <v>29</v>
      </c>
    </row>
    <row r="4" spans="1:52" ht="24" thickBot="1">
      <c r="B4" s="79" t="s">
        <v>28</v>
      </c>
      <c r="K4" s="53"/>
      <c r="L4" s="53"/>
      <c r="M4" s="53"/>
      <c r="N4" s="53"/>
      <c r="O4" s="53"/>
      <c r="P4" s="53"/>
      <c r="Q4" s="53"/>
      <c r="R4" s="53"/>
      <c r="S4" s="53"/>
      <c r="T4" s="53"/>
      <c r="AB4" s="51"/>
      <c r="AC4" s="39" t="s">
        <v>20</v>
      </c>
      <c r="AD4" s="42">
        <f>VLOOKUP($AD$2,FACTORES,6,FALSE)</f>
        <v>0.35399999999999998</v>
      </c>
      <c r="AZ4" s="79" t="s">
        <v>28</v>
      </c>
    </row>
    <row r="5" spans="1:52" ht="24" thickBot="1">
      <c r="B5" s="69" t="s">
        <v>30</v>
      </c>
      <c r="AB5" s="52"/>
      <c r="AC5" s="39" t="s">
        <v>21</v>
      </c>
      <c r="AD5" s="42">
        <f>VLOOKUP($AD$2,FACTORES,7,FALSE)</f>
        <v>1.6459999999999999</v>
      </c>
    </row>
    <row r="6" spans="1:52" ht="15.75" thickBot="1">
      <c r="J6" s="1"/>
      <c r="K6" s="20"/>
      <c r="L6" s="20"/>
      <c r="M6" s="20"/>
      <c r="N6" s="20"/>
      <c r="O6" s="20"/>
      <c r="P6" s="20"/>
      <c r="Q6" s="20"/>
      <c r="R6" s="20"/>
      <c r="S6" s="20"/>
      <c r="T6" s="20"/>
      <c r="AK6" s="252" t="s">
        <v>34</v>
      </c>
      <c r="AL6" s="253"/>
      <c r="AM6" s="253"/>
      <c r="AN6" s="253"/>
      <c r="AO6" s="253"/>
      <c r="AP6" s="253"/>
      <c r="AQ6" s="254"/>
      <c r="AR6" s="255" t="s">
        <v>43</v>
      </c>
      <c r="AS6" s="256"/>
      <c r="AT6" s="256"/>
      <c r="AU6" s="256"/>
      <c r="AV6" s="256"/>
      <c r="AW6" s="256"/>
      <c r="AX6" s="257"/>
    </row>
    <row r="7" spans="1:52" ht="15.75" thickBot="1">
      <c r="A7" s="4"/>
      <c r="B7" s="258" t="s">
        <v>1</v>
      </c>
      <c r="C7" s="259"/>
      <c r="D7" s="259"/>
      <c r="E7" s="259"/>
      <c r="F7" s="259"/>
      <c r="G7" s="259"/>
      <c r="H7" s="259"/>
      <c r="I7" s="259"/>
      <c r="J7" s="259"/>
      <c r="K7" s="259"/>
      <c r="L7" s="259"/>
      <c r="M7" s="259"/>
      <c r="N7" s="259"/>
      <c r="O7" s="259"/>
      <c r="P7" s="259"/>
      <c r="Q7" s="259"/>
      <c r="R7" s="259"/>
      <c r="S7" s="259"/>
      <c r="T7" s="259"/>
      <c r="U7" s="259"/>
      <c r="V7" s="259"/>
      <c r="W7" s="259"/>
      <c r="X7" s="259"/>
      <c r="Y7" s="260"/>
      <c r="Z7" s="261"/>
      <c r="AA7" s="262" t="s">
        <v>14</v>
      </c>
      <c r="AB7" s="262"/>
      <c r="AC7" s="262"/>
      <c r="AD7" s="263"/>
      <c r="AE7" s="264" t="s">
        <v>18</v>
      </c>
      <c r="AF7" s="262"/>
      <c r="AG7" s="262"/>
      <c r="AH7" s="265"/>
      <c r="AK7" s="85"/>
      <c r="AL7" s="86"/>
      <c r="AM7" s="86"/>
      <c r="AN7" s="86"/>
      <c r="AO7" s="86"/>
      <c r="AP7" s="86"/>
      <c r="AQ7" s="87"/>
      <c r="AR7" s="85"/>
      <c r="AS7" s="86"/>
      <c r="AT7" s="86"/>
      <c r="AU7" s="86"/>
      <c r="AV7" s="86"/>
      <c r="AW7" s="86"/>
      <c r="AX7" s="87"/>
    </row>
    <row r="8" spans="1:52" ht="15.75" thickBot="1">
      <c r="A8" s="35" t="s">
        <v>0</v>
      </c>
      <c r="B8" s="83">
        <v>1</v>
      </c>
      <c r="C8" s="6">
        <v>2</v>
      </c>
      <c r="D8" s="6">
        <v>3</v>
      </c>
      <c r="E8" s="6">
        <v>4</v>
      </c>
      <c r="F8" s="6">
        <v>5</v>
      </c>
      <c r="G8" s="37">
        <v>6</v>
      </c>
      <c r="H8" s="37">
        <v>7</v>
      </c>
      <c r="I8" s="37">
        <v>8</v>
      </c>
      <c r="J8" s="37">
        <v>9</v>
      </c>
      <c r="K8" s="37">
        <v>10</v>
      </c>
      <c r="L8" s="37">
        <v>11</v>
      </c>
      <c r="M8" s="37">
        <v>12</v>
      </c>
      <c r="N8" s="37">
        <v>13</v>
      </c>
      <c r="O8" s="37">
        <v>14</v>
      </c>
      <c r="P8" s="37">
        <v>15</v>
      </c>
      <c r="Q8" s="37">
        <v>16</v>
      </c>
      <c r="R8" s="37">
        <v>17</v>
      </c>
      <c r="S8" s="37">
        <v>18</v>
      </c>
      <c r="T8" s="37">
        <v>19</v>
      </c>
      <c r="U8" s="37">
        <v>20</v>
      </c>
      <c r="V8" s="37">
        <v>21</v>
      </c>
      <c r="W8" s="37">
        <v>22</v>
      </c>
      <c r="X8" s="37">
        <v>23</v>
      </c>
      <c r="Y8" s="38">
        <v>24</v>
      </c>
      <c r="Z8" s="55">
        <v>25</v>
      </c>
      <c r="AA8" s="28" t="s">
        <v>16</v>
      </c>
      <c r="AB8" s="28" t="s">
        <v>15</v>
      </c>
      <c r="AC8" s="28" t="s">
        <v>5</v>
      </c>
      <c r="AD8" s="29" t="s">
        <v>6</v>
      </c>
      <c r="AE8" s="27" t="s">
        <v>7</v>
      </c>
      <c r="AF8" s="28" t="s">
        <v>17</v>
      </c>
      <c r="AG8" s="30" t="s">
        <v>5</v>
      </c>
      <c r="AH8" s="31" t="s">
        <v>6</v>
      </c>
      <c r="AK8" s="64"/>
      <c r="AL8" s="245" t="s">
        <v>33</v>
      </c>
      <c r="AM8" s="246"/>
      <c r="AN8" s="4"/>
      <c r="AO8" s="245" t="s">
        <v>36</v>
      </c>
      <c r="AP8" s="246"/>
      <c r="AQ8" s="65"/>
      <c r="AR8" s="64"/>
      <c r="AS8" s="245" t="s">
        <v>33</v>
      </c>
      <c r="AT8" s="246"/>
      <c r="AU8" s="4"/>
      <c r="AV8" s="245" t="s">
        <v>79</v>
      </c>
      <c r="AW8" s="246"/>
      <c r="AX8" s="65"/>
    </row>
    <row r="9" spans="1:52" ht="15.75" thickBot="1">
      <c r="A9" s="80">
        <v>1</v>
      </c>
      <c r="B9" s="22">
        <v>491.02</v>
      </c>
      <c r="C9" s="22">
        <v>496.64</v>
      </c>
      <c r="D9" s="22">
        <v>492.59</v>
      </c>
      <c r="E9" s="22">
        <v>501.89</v>
      </c>
      <c r="F9" s="22">
        <v>502.53</v>
      </c>
      <c r="G9" s="22">
        <v>503.26</v>
      </c>
      <c r="H9" s="22">
        <v>491.02</v>
      </c>
      <c r="I9" s="22">
        <v>496.64</v>
      </c>
      <c r="J9" s="22">
        <v>492.59</v>
      </c>
      <c r="K9" s="22">
        <v>503.26</v>
      </c>
      <c r="L9" s="22">
        <v>502.53</v>
      </c>
      <c r="M9" s="22">
        <v>503.26</v>
      </c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6"/>
      <c r="Z9" s="23"/>
      <c r="AA9" s="54">
        <f t="shared" ref="AA9:AA40" si="0">IF(SUM(B9:Z9)&gt;0,AVERAGE(B9:Z9),"")</f>
        <v>498.10250000000002</v>
      </c>
      <c r="AB9" s="32">
        <f>IF(SUM(B9:Z9)&gt;0,AVERAGE($AA$9:$AA$116),"")</f>
        <v>496.58749999999998</v>
      </c>
      <c r="AC9" s="32">
        <f>IF(SUM(B9:Z9)&gt;0,AB9+$AD$3*AF9,"")</f>
        <v>499.92798563426584</v>
      </c>
      <c r="AD9" s="32">
        <f>IF(SUM(B9:Z9)&gt;0,AB9-($AD$3*AF9),"")</f>
        <v>493.24701436573412</v>
      </c>
      <c r="AE9" s="32">
        <f>IF(SUM(B9:Z9)&gt;0,STDEV(B9:Z9),"")</f>
        <v>5.2112363303643328</v>
      </c>
      <c r="AF9" s="33">
        <f>IF(SUM(B9:Z9)&gt;0,AVERAGE($AE$9:$AE$116),"")</f>
        <v>3.770299812941134</v>
      </c>
      <c r="AG9" s="34">
        <f>IF(SUM(B9:Z9)&gt;0,$AD$5*AF9,"")</f>
        <v>6.2059134921011063</v>
      </c>
      <c r="AH9" s="34">
        <f>IF(SUM(B9:Z9)&gt;0,$AD$4*AF9,"")</f>
        <v>1.3346861337811613</v>
      </c>
      <c r="AK9" s="64"/>
      <c r="AL9" s="63" t="s">
        <v>5</v>
      </c>
      <c r="AM9" s="59">
        <f>COUNTIF($AA$9:$AA$116,"&gt;"&amp;$AC$9)</f>
        <v>0</v>
      </c>
      <c r="AN9" s="4"/>
      <c r="AO9" s="63" t="s">
        <v>37</v>
      </c>
      <c r="AP9" s="59">
        <f>COUNTIF($AA$9:$AA$116,"&gt;"&amp;$AB$9)</f>
        <v>7</v>
      </c>
      <c r="AQ9" s="65"/>
      <c r="AR9" s="64"/>
      <c r="AS9" s="63" t="s">
        <v>5</v>
      </c>
      <c r="AT9" s="61">
        <f>COUNTIF($AE$9:$AE$116,"&gt;"&amp;$AG$9)</f>
        <v>0</v>
      </c>
      <c r="AU9" s="4"/>
      <c r="AV9" s="63" t="s">
        <v>5</v>
      </c>
      <c r="AW9" s="61">
        <f>COUNTIF($AE$9:$AE$116,"&gt;"&amp;$AF$9)</f>
        <v>9</v>
      </c>
      <c r="AX9" s="65"/>
    </row>
    <row r="10" spans="1:52" ht="15.75" thickBot="1">
      <c r="A10" s="80">
        <v>2</v>
      </c>
      <c r="B10" s="22">
        <v>492.31</v>
      </c>
      <c r="C10" s="22">
        <v>501.5</v>
      </c>
      <c r="D10" s="22">
        <v>499.5</v>
      </c>
      <c r="E10" s="22">
        <v>502.24</v>
      </c>
      <c r="F10" s="22">
        <v>500.76</v>
      </c>
      <c r="G10" s="22">
        <v>495.84</v>
      </c>
      <c r="H10" s="22">
        <v>499.5</v>
      </c>
      <c r="I10" s="22">
        <v>502.24</v>
      </c>
      <c r="J10" s="22">
        <v>502.11</v>
      </c>
      <c r="K10" s="22">
        <v>495.84</v>
      </c>
      <c r="L10" s="22">
        <v>492.49</v>
      </c>
      <c r="M10" s="22">
        <v>493.19</v>
      </c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54">
        <f t="shared" si="0"/>
        <v>498.12666666666661</v>
      </c>
      <c r="AB10" s="32">
        <f t="shared" ref="AB10:AB40" si="1">IF(SUM(B10:Z10)&gt;0,AVERAGE($AA$9:$AA$116),"")</f>
        <v>496.58749999999998</v>
      </c>
      <c r="AC10" s="32">
        <f>IF(SUM(B10:Z10)&gt;0,AB10+$AD$3*AF10,"")</f>
        <v>499.92798563426584</v>
      </c>
      <c r="AD10" s="32">
        <f t="shared" ref="AD10:AD73" si="2">IF(SUM(B10:Z10)&gt;0,AB10-($AD$3*AF10),"")</f>
        <v>493.24701436573412</v>
      </c>
      <c r="AE10" s="32">
        <f t="shared" ref="AE10:AE40" si="3">IF(SUM(B10:Z10)&gt;0,STDEV(B10:Z10),"")</f>
        <v>3.9568797011909522</v>
      </c>
      <c r="AF10" s="33">
        <f t="shared" ref="AF10:AF40" si="4">IF(SUM(B10:Z10)&gt;0,AVERAGE($AE$9:$AE$116),"")</f>
        <v>3.770299812941134</v>
      </c>
      <c r="AG10" s="34">
        <f t="shared" ref="AG10:AG40" si="5">IF(SUM(B10:Z10)&gt;0,$AD$5*AF10,"")</f>
        <v>6.2059134921011063</v>
      </c>
      <c r="AH10" s="34">
        <f>IF(SUM(B10:Z10)&gt;0,$AD$4*AF10,"")</f>
        <v>1.3346861337811613</v>
      </c>
      <c r="AK10" s="64"/>
      <c r="AL10" s="62" t="s">
        <v>6</v>
      </c>
      <c r="AM10" s="60">
        <f>COUNTIF($AA$9:$AA$116,"&lt;"&amp;$AD$9)</f>
        <v>0</v>
      </c>
      <c r="AN10" s="4"/>
      <c r="AO10" s="63" t="s">
        <v>38</v>
      </c>
      <c r="AP10" s="60">
        <f>COUNTIF($AA$9:$AA$116,"&lt;"&amp;$AB$10)</f>
        <v>8</v>
      </c>
      <c r="AQ10" s="65"/>
      <c r="AR10" s="64"/>
      <c r="AS10" s="63" t="s">
        <v>6</v>
      </c>
      <c r="AT10" s="62">
        <f>COUNTIF($AE$9:$AE$116,"&lt;"&amp;$AH$9)</f>
        <v>0</v>
      </c>
      <c r="AU10" s="4"/>
      <c r="AV10" s="63" t="s">
        <v>6</v>
      </c>
      <c r="AW10" s="62">
        <f>COUNTIF($AE$9:$AE$116,"&lt;"&amp;$AF$9)</f>
        <v>6</v>
      </c>
      <c r="AX10" s="65"/>
    </row>
    <row r="11" spans="1:52" ht="15.75" thickBot="1">
      <c r="A11" s="80">
        <v>3</v>
      </c>
      <c r="B11" s="22">
        <v>495.14</v>
      </c>
      <c r="C11" s="22">
        <v>498.05</v>
      </c>
      <c r="D11" s="22">
        <v>490.58</v>
      </c>
      <c r="E11" s="22">
        <v>490.03</v>
      </c>
      <c r="F11" s="22">
        <v>500.75</v>
      </c>
      <c r="G11" s="22">
        <v>490.13</v>
      </c>
      <c r="H11" s="22">
        <v>490.58</v>
      </c>
      <c r="I11" s="22">
        <v>490.03</v>
      </c>
      <c r="J11" s="22">
        <v>498.59</v>
      </c>
      <c r="K11" s="22">
        <v>490.13</v>
      </c>
      <c r="L11" s="22">
        <v>494.81</v>
      </c>
      <c r="M11" s="22">
        <v>490.91</v>
      </c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54">
        <f t="shared" si="0"/>
        <v>493.31083333333339</v>
      </c>
      <c r="AB11" s="32">
        <f t="shared" si="1"/>
        <v>496.58749999999998</v>
      </c>
      <c r="AC11" s="32">
        <f t="shared" ref="AC11:AC73" si="6">IF(SUM(B11:Z11)&gt;0,AB11+$AD$3*AF11,"")</f>
        <v>499.92798563426584</v>
      </c>
      <c r="AD11" s="32">
        <f t="shared" si="2"/>
        <v>493.24701436573412</v>
      </c>
      <c r="AE11" s="32">
        <f t="shared" si="3"/>
        <v>3.9738450771223732</v>
      </c>
      <c r="AF11" s="33">
        <f t="shared" si="4"/>
        <v>3.770299812941134</v>
      </c>
      <c r="AG11" s="34">
        <f t="shared" si="5"/>
        <v>6.2059134921011063</v>
      </c>
      <c r="AH11" s="34">
        <f t="shared" ref="AH11:AH40" si="7">IF(SUM(B11:Z11)&gt;0,$AD$4*AF11,"")</f>
        <v>1.3346861337811613</v>
      </c>
      <c r="AK11" s="64"/>
      <c r="AL11" s="4"/>
      <c r="AM11" s="4"/>
      <c r="AN11" s="4"/>
      <c r="AO11" s="4"/>
      <c r="AP11" s="4"/>
      <c r="AQ11" s="65"/>
      <c r="AR11" s="64"/>
      <c r="AS11" s="4"/>
      <c r="AT11" s="4"/>
      <c r="AU11" s="4"/>
      <c r="AV11" s="4"/>
      <c r="AW11" s="4"/>
      <c r="AX11" s="65"/>
    </row>
    <row r="12" spans="1:52" ht="15.75" thickBot="1">
      <c r="A12" s="80">
        <v>4</v>
      </c>
      <c r="B12" s="22">
        <v>495.31</v>
      </c>
      <c r="C12" s="22">
        <v>493.51</v>
      </c>
      <c r="D12" s="22">
        <v>493.19</v>
      </c>
      <c r="E12" s="22">
        <v>490.9</v>
      </c>
      <c r="F12" s="22">
        <v>491.98</v>
      </c>
      <c r="G12" s="22">
        <v>492.49</v>
      </c>
      <c r="H12" s="22">
        <v>493.19</v>
      </c>
      <c r="I12" s="22">
        <v>490.9</v>
      </c>
      <c r="J12" s="22">
        <v>498.62</v>
      </c>
      <c r="K12" s="22">
        <v>492.49</v>
      </c>
      <c r="L12" s="22">
        <v>495.73</v>
      </c>
      <c r="M12" s="22">
        <v>493.07</v>
      </c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54">
        <f t="shared" si="0"/>
        <v>493.44833333333327</v>
      </c>
      <c r="AB12" s="32">
        <f t="shared" si="1"/>
        <v>496.58749999999998</v>
      </c>
      <c r="AC12" s="32">
        <f t="shared" si="6"/>
        <v>499.92798563426584</v>
      </c>
      <c r="AD12" s="32">
        <f t="shared" si="2"/>
        <v>493.24701436573412</v>
      </c>
      <c r="AE12" s="32">
        <f t="shared" si="3"/>
        <v>2.1883818568785425</v>
      </c>
      <c r="AF12" s="33">
        <f t="shared" si="4"/>
        <v>3.770299812941134</v>
      </c>
      <c r="AG12" s="34">
        <f t="shared" si="5"/>
        <v>6.2059134921011063</v>
      </c>
      <c r="AH12" s="34">
        <f t="shared" si="7"/>
        <v>1.3346861337811613</v>
      </c>
      <c r="AK12" s="64"/>
      <c r="AL12" s="4"/>
      <c r="AM12" s="4"/>
      <c r="AN12" s="4"/>
      <c r="AO12" s="88" t="s">
        <v>42</v>
      </c>
      <c r="AP12" s="89">
        <f>SUM(AP9:AP10)</f>
        <v>15</v>
      </c>
      <c r="AQ12" s="65"/>
      <c r="AR12" s="64"/>
      <c r="AS12" s="4"/>
      <c r="AT12" s="4"/>
      <c r="AU12" s="4"/>
      <c r="AV12" s="88" t="s">
        <v>42</v>
      </c>
      <c r="AW12" s="89">
        <f>SUM(AW9:AW10)</f>
        <v>15</v>
      </c>
      <c r="AX12" s="65"/>
    </row>
    <row r="13" spans="1:52" ht="15.75" thickBot="1">
      <c r="A13" s="80">
        <v>5</v>
      </c>
      <c r="B13" s="22">
        <v>501.44</v>
      </c>
      <c r="C13" s="22">
        <v>500.16</v>
      </c>
      <c r="D13" s="22">
        <v>490.91</v>
      </c>
      <c r="E13" s="22">
        <v>499.55</v>
      </c>
      <c r="F13" s="22">
        <v>497.79</v>
      </c>
      <c r="G13" s="22">
        <v>494.81</v>
      </c>
      <c r="H13" s="22">
        <v>490.91</v>
      </c>
      <c r="I13" s="22">
        <v>499.55</v>
      </c>
      <c r="J13" s="22">
        <v>490.13</v>
      </c>
      <c r="K13" s="22">
        <v>494.81</v>
      </c>
      <c r="L13" s="22">
        <v>497.99</v>
      </c>
      <c r="M13" s="22">
        <v>495.62</v>
      </c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54">
        <f t="shared" si="0"/>
        <v>496.13916666666665</v>
      </c>
      <c r="AB13" s="32">
        <f t="shared" si="1"/>
        <v>496.58749999999998</v>
      </c>
      <c r="AC13" s="32">
        <f t="shared" si="6"/>
        <v>499.92798563426584</v>
      </c>
      <c r="AD13" s="32">
        <f t="shared" si="2"/>
        <v>493.24701436573412</v>
      </c>
      <c r="AE13" s="32">
        <f t="shared" si="3"/>
        <v>3.9113551670008486</v>
      </c>
      <c r="AF13" s="33">
        <f t="shared" si="4"/>
        <v>3.770299812941134</v>
      </c>
      <c r="AG13" s="34">
        <f t="shared" si="5"/>
        <v>6.2059134921011063</v>
      </c>
      <c r="AH13" s="34">
        <f t="shared" si="7"/>
        <v>1.3346861337811613</v>
      </c>
      <c r="AK13" s="64"/>
      <c r="AL13" s="4"/>
      <c r="AM13" s="4"/>
      <c r="AN13" s="4"/>
      <c r="AO13" s="4"/>
      <c r="AP13" s="4"/>
      <c r="AQ13" s="65"/>
      <c r="AR13" s="64"/>
      <c r="AS13" s="4"/>
      <c r="AT13" s="4"/>
      <c r="AU13" s="4"/>
      <c r="AV13" s="4"/>
      <c r="AW13" s="4"/>
      <c r="AX13" s="65"/>
    </row>
    <row r="14" spans="1:52" ht="15.75" thickBot="1">
      <c r="A14" s="80">
        <v>6</v>
      </c>
      <c r="B14" s="22">
        <v>499.91</v>
      </c>
      <c r="C14" s="22">
        <v>494.84</v>
      </c>
      <c r="D14" s="22">
        <v>500.16</v>
      </c>
      <c r="E14" s="22">
        <v>490.04</v>
      </c>
      <c r="F14" s="22">
        <v>500.79</v>
      </c>
      <c r="G14" s="22">
        <v>495.73</v>
      </c>
      <c r="H14" s="22">
        <v>500.16</v>
      </c>
      <c r="I14" s="22">
        <v>490.04</v>
      </c>
      <c r="J14" s="22">
        <v>492.49</v>
      </c>
      <c r="K14" s="22">
        <v>495.73</v>
      </c>
      <c r="L14" s="22">
        <v>498.2</v>
      </c>
      <c r="M14" s="22">
        <v>500.07</v>
      </c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54">
        <f t="shared" si="0"/>
        <v>496.51333333333326</v>
      </c>
      <c r="AB14" s="32">
        <f t="shared" si="1"/>
        <v>496.58749999999998</v>
      </c>
      <c r="AC14" s="32">
        <f t="shared" si="6"/>
        <v>499.92798563426584</v>
      </c>
      <c r="AD14" s="32">
        <f t="shared" si="2"/>
        <v>493.24701436573412</v>
      </c>
      <c r="AE14" s="32">
        <f t="shared" si="3"/>
        <v>3.9993279738506375</v>
      </c>
      <c r="AF14" s="33">
        <f t="shared" si="4"/>
        <v>3.770299812941134</v>
      </c>
      <c r="AG14" s="34">
        <f t="shared" si="5"/>
        <v>6.2059134921011063</v>
      </c>
      <c r="AH14" s="34">
        <f t="shared" si="7"/>
        <v>1.3346861337811613</v>
      </c>
      <c r="AK14" s="64"/>
      <c r="AL14" s="4"/>
      <c r="AM14" s="4"/>
      <c r="AN14" s="4"/>
      <c r="AO14" s="4"/>
      <c r="AP14" s="4"/>
      <c r="AQ14" s="65"/>
      <c r="AR14" s="64"/>
      <c r="AS14" s="4"/>
      <c r="AT14" s="4"/>
      <c r="AU14" s="4"/>
      <c r="AV14" s="4"/>
      <c r="AW14" s="4"/>
      <c r="AX14" s="65"/>
    </row>
    <row r="15" spans="1:52" ht="15.75" thickBot="1">
      <c r="A15" s="80">
        <v>7</v>
      </c>
      <c r="B15" s="22">
        <v>498.1</v>
      </c>
      <c r="C15" s="22">
        <v>495.38</v>
      </c>
      <c r="D15" s="22">
        <v>500.3</v>
      </c>
      <c r="E15" s="22">
        <v>491.02</v>
      </c>
      <c r="F15" s="22">
        <v>502.11</v>
      </c>
      <c r="G15" s="22">
        <v>497.99</v>
      </c>
      <c r="H15" s="22">
        <v>500.3</v>
      </c>
      <c r="I15" s="22">
        <v>491.02</v>
      </c>
      <c r="J15" s="22">
        <v>494.81</v>
      </c>
      <c r="K15" s="22">
        <v>497.99</v>
      </c>
      <c r="L15" s="22">
        <v>493.51</v>
      </c>
      <c r="M15" s="22">
        <v>493.19</v>
      </c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54">
        <f t="shared" si="0"/>
        <v>496.30999999999995</v>
      </c>
      <c r="AB15" s="32">
        <f t="shared" si="1"/>
        <v>496.58749999999998</v>
      </c>
      <c r="AC15" s="32">
        <f t="shared" si="6"/>
        <v>499.92798563426584</v>
      </c>
      <c r="AD15" s="32">
        <f t="shared" si="2"/>
        <v>493.24701436573412</v>
      </c>
      <c r="AE15" s="32">
        <f t="shared" si="3"/>
        <v>3.7048690321595217</v>
      </c>
      <c r="AF15" s="33">
        <f t="shared" si="4"/>
        <v>3.770299812941134</v>
      </c>
      <c r="AG15" s="34">
        <f t="shared" si="5"/>
        <v>6.2059134921011063</v>
      </c>
      <c r="AH15" s="34">
        <f t="shared" si="7"/>
        <v>1.3346861337811613</v>
      </c>
      <c r="AK15" s="64"/>
      <c r="AL15" s="4"/>
      <c r="AM15" s="4"/>
      <c r="AN15" s="4"/>
      <c r="AO15" s="4"/>
      <c r="AP15" s="4"/>
      <c r="AQ15" s="65"/>
      <c r="AR15" s="64"/>
      <c r="AS15" s="4"/>
      <c r="AT15" s="4"/>
      <c r="AU15" s="4"/>
      <c r="AV15" s="4"/>
      <c r="AW15" s="4"/>
      <c r="AX15" s="65"/>
    </row>
    <row r="16" spans="1:52" ht="15.75" thickBot="1">
      <c r="A16" s="80">
        <v>8</v>
      </c>
      <c r="B16" s="22">
        <v>503.19</v>
      </c>
      <c r="C16" s="22">
        <v>489.84</v>
      </c>
      <c r="D16" s="22">
        <v>493.07</v>
      </c>
      <c r="E16" s="22">
        <v>492.31</v>
      </c>
      <c r="F16" s="22">
        <v>498.59</v>
      </c>
      <c r="G16" s="22">
        <v>498.2</v>
      </c>
      <c r="H16" s="22">
        <v>493.07</v>
      </c>
      <c r="I16" s="22">
        <v>492.31</v>
      </c>
      <c r="J16" s="22">
        <v>495.73</v>
      </c>
      <c r="K16" s="22">
        <v>498.2</v>
      </c>
      <c r="L16" s="22">
        <v>500.16</v>
      </c>
      <c r="M16" s="22">
        <v>490.91</v>
      </c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54">
        <f t="shared" si="0"/>
        <v>495.46499999999992</v>
      </c>
      <c r="AB16" s="32">
        <f t="shared" si="1"/>
        <v>496.58749999999998</v>
      </c>
      <c r="AC16" s="32">
        <f t="shared" si="6"/>
        <v>499.92798563426584</v>
      </c>
      <c r="AD16" s="32">
        <f t="shared" si="2"/>
        <v>493.24701436573412</v>
      </c>
      <c r="AE16" s="32">
        <f t="shared" si="3"/>
        <v>4.1591487328320182</v>
      </c>
      <c r="AF16" s="33">
        <f t="shared" si="4"/>
        <v>3.770299812941134</v>
      </c>
      <c r="AG16" s="34">
        <f t="shared" si="5"/>
        <v>6.2059134921011063</v>
      </c>
      <c r="AH16" s="34">
        <f t="shared" si="7"/>
        <v>1.3346861337811613</v>
      </c>
      <c r="AK16" s="64"/>
      <c r="AL16" s="4"/>
      <c r="AM16" s="4"/>
      <c r="AN16" s="4"/>
      <c r="AO16" s="4"/>
      <c r="AP16" s="4"/>
      <c r="AQ16" s="65"/>
      <c r="AR16" s="64"/>
      <c r="AS16" s="4"/>
      <c r="AT16" s="4"/>
      <c r="AU16" s="4"/>
      <c r="AV16" s="4"/>
      <c r="AW16" s="4"/>
      <c r="AX16" s="65"/>
    </row>
    <row r="17" spans="1:50" ht="15.75" thickBot="1">
      <c r="A17" s="80">
        <v>9</v>
      </c>
      <c r="B17" s="22">
        <v>503.02</v>
      </c>
      <c r="C17" s="22">
        <v>496.94</v>
      </c>
      <c r="D17" s="22">
        <v>495.62</v>
      </c>
      <c r="E17" s="22">
        <v>495.14</v>
      </c>
      <c r="F17" s="22">
        <v>498.62</v>
      </c>
      <c r="G17" s="22">
        <v>499.66</v>
      </c>
      <c r="H17" s="22">
        <v>495.62</v>
      </c>
      <c r="I17" s="22">
        <v>495.14</v>
      </c>
      <c r="J17" s="22">
        <v>492.49</v>
      </c>
      <c r="K17" s="22">
        <v>499.66</v>
      </c>
      <c r="L17" s="22">
        <v>494.84</v>
      </c>
      <c r="M17" s="22">
        <v>500.16</v>
      </c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54">
        <f t="shared" si="0"/>
        <v>497.24249999999989</v>
      </c>
      <c r="AB17" s="32">
        <f t="shared" si="1"/>
        <v>496.58749999999998</v>
      </c>
      <c r="AC17" s="32">
        <f t="shared" si="6"/>
        <v>499.92798563426584</v>
      </c>
      <c r="AD17" s="32">
        <f t="shared" si="2"/>
        <v>493.24701436573412</v>
      </c>
      <c r="AE17" s="32">
        <f t="shared" si="3"/>
        <v>2.9853159570866854</v>
      </c>
      <c r="AF17" s="33">
        <f t="shared" si="4"/>
        <v>3.770299812941134</v>
      </c>
      <c r="AG17" s="34">
        <f t="shared" si="5"/>
        <v>6.2059134921011063</v>
      </c>
      <c r="AH17" s="34">
        <f t="shared" si="7"/>
        <v>1.3346861337811613</v>
      </c>
      <c r="AK17" s="64"/>
      <c r="AL17" s="4"/>
      <c r="AM17" s="4"/>
      <c r="AN17" s="4"/>
      <c r="AO17" s="4"/>
      <c r="AP17" s="4"/>
      <c r="AQ17" s="65"/>
      <c r="AR17" s="64"/>
      <c r="AS17" s="4"/>
      <c r="AT17" s="4"/>
      <c r="AU17" s="4"/>
      <c r="AV17" s="4"/>
      <c r="AW17" s="4"/>
      <c r="AX17" s="65"/>
    </row>
    <row r="18" spans="1:50" ht="15.75" thickBot="1">
      <c r="A18" s="80">
        <v>10</v>
      </c>
      <c r="B18" s="22">
        <v>498.11</v>
      </c>
      <c r="C18" s="22">
        <v>501.62</v>
      </c>
      <c r="D18" s="22">
        <v>500.07</v>
      </c>
      <c r="E18" s="22">
        <v>495.31</v>
      </c>
      <c r="F18" s="22">
        <v>502.17</v>
      </c>
      <c r="G18" s="22">
        <v>496.87</v>
      </c>
      <c r="H18" s="22">
        <v>500.07</v>
      </c>
      <c r="I18" s="22">
        <v>495.31</v>
      </c>
      <c r="J18" s="22">
        <v>494.81</v>
      </c>
      <c r="K18" s="22">
        <v>496.87</v>
      </c>
      <c r="L18" s="22">
        <v>495.38</v>
      </c>
      <c r="M18" s="22">
        <v>500.3</v>
      </c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54">
        <f t="shared" si="0"/>
        <v>498.07416666666671</v>
      </c>
      <c r="AB18" s="32">
        <f t="shared" si="1"/>
        <v>496.58749999999998</v>
      </c>
      <c r="AC18" s="32">
        <f t="shared" si="6"/>
        <v>499.92798563426584</v>
      </c>
      <c r="AD18" s="32">
        <f t="shared" si="2"/>
        <v>493.24701436573412</v>
      </c>
      <c r="AE18" s="32">
        <f t="shared" si="3"/>
        <v>2.6691110482478617</v>
      </c>
      <c r="AF18" s="33">
        <f t="shared" si="4"/>
        <v>3.770299812941134</v>
      </c>
      <c r="AG18" s="34">
        <f t="shared" si="5"/>
        <v>6.2059134921011063</v>
      </c>
      <c r="AH18" s="34">
        <f t="shared" si="7"/>
        <v>1.3346861337811613</v>
      </c>
      <c r="AK18" s="64"/>
      <c r="AL18" s="4"/>
      <c r="AM18" s="4"/>
      <c r="AN18" s="4"/>
      <c r="AO18" s="4"/>
      <c r="AP18" s="4"/>
      <c r="AQ18" s="65"/>
      <c r="AR18" s="64"/>
      <c r="AS18" s="4"/>
      <c r="AT18" s="4"/>
      <c r="AU18" s="4"/>
      <c r="AV18" s="4"/>
      <c r="AW18" s="4"/>
      <c r="AX18" s="65"/>
    </row>
    <row r="19" spans="1:50" ht="15.75" thickBot="1">
      <c r="A19" s="80">
        <v>11</v>
      </c>
      <c r="B19" s="22">
        <v>497.31</v>
      </c>
      <c r="C19" s="22">
        <v>491.98</v>
      </c>
      <c r="D19" s="22">
        <v>492.49</v>
      </c>
      <c r="E19" s="22">
        <v>501.44</v>
      </c>
      <c r="F19" s="22">
        <v>495.11</v>
      </c>
      <c r="G19" s="22">
        <v>502.21</v>
      </c>
      <c r="H19" s="22">
        <v>492.49</v>
      </c>
      <c r="I19" s="22">
        <v>501.44</v>
      </c>
      <c r="J19" s="22">
        <v>495.73</v>
      </c>
      <c r="K19" s="22">
        <v>502.21</v>
      </c>
      <c r="L19" s="22">
        <v>489.84</v>
      </c>
      <c r="M19" s="22">
        <v>493.07</v>
      </c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54">
        <f t="shared" si="0"/>
        <v>496.27666666666664</v>
      </c>
      <c r="AB19" s="32">
        <f t="shared" si="1"/>
        <v>496.58749999999998</v>
      </c>
      <c r="AC19" s="32">
        <f t="shared" si="6"/>
        <v>499.92798563426584</v>
      </c>
      <c r="AD19" s="32">
        <f t="shared" si="2"/>
        <v>493.24701436573412</v>
      </c>
      <c r="AE19" s="32">
        <f t="shared" si="3"/>
        <v>4.5257753395680593</v>
      </c>
      <c r="AF19" s="33">
        <f t="shared" si="4"/>
        <v>3.770299812941134</v>
      </c>
      <c r="AG19" s="34">
        <f t="shared" si="5"/>
        <v>6.2059134921011063</v>
      </c>
      <c r="AH19" s="34">
        <f t="shared" si="7"/>
        <v>1.3346861337811613</v>
      </c>
      <c r="AK19" s="64"/>
      <c r="AL19" s="4"/>
      <c r="AM19" s="4"/>
      <c r="AN19" s="4"/>
      <c r="AO19" s="4"/>
      <c r="AP19" s="4"/>
      <c r="AQ19" s="65"/>
      <c r="AR19" s="64"/>
      <c r="AS19" s="4"/>
      <c r="AT19" s="4"/>
      <c r="AU19" s="4"/>
      <c r="AV19" s="4"/>
      <c r="AW19" s="4"/>
      <c r="AX19" s="65"/>
    </row>
    <row r="20" spans="1:50" ht="15.75" thickBot="1">
      <c r="A20" s="80">
        <v>12</v>
      </c>
      <c r="B20" s="22">
        <v>492.72</v>
      </c>
      <c r="C20" s="22">
        <v>497.79</v>
      </c>
      <c r="D20" s="22">
        <v>494.81</v>
      </c>
      <c r="E20" s="22">
        <v>499.91</v>
      </c>
      <c r="F20" s="22">
        <v>494.04</v>
      </c>
      <c r="G20" s="22">
        <v>500.82</v>
      </c>
      <c r="H20" s="22">
        <v>501.62</v>
      </c>
      <c r="I20" s="22">
        <v>502.11</v>
      </c>
      <c r="J20" s="22">
        <v>497.99</v>
      </c>
      <c r="K20" s="22">
        <v>500.82</v>
      </c>
      <c r="L20" s="22">
        <v>496.94</v>
      </c>
      <c r="M20" s="22">
        <v>495.62</v>
      </c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54">
        <f t="shared" si="0"/>
        <v>497.93249999999995</v>
      </c>
      <c r="AB20" s="32">
        <f t="shared" si="1"/>
        <v>496.58749999999998</v>
      </c>
      <c r="AC20" s="32">
        <f t="shared" si="6"/>
        <v>499.92798563426584</v>
      </c>
      <c r="AD20" s="32">
        <f t="shared" si="2"/>
        <v>493.24701436573412</v>
      </c>
      <c r="AE20" s="32">
        <f t="shared" si="3"/>
        <v>3.163183451122384</v>
      </c>
      <c r="AF20" s="33">
        <f t="shared" si="4"/>
        <v>3.770299812941134</v>
      </c>
      <c r="AG20" s="34">
        <f t="shared" si="5"/>
        <v>6.2059134921011063</v>
      </c>
      <c r="AH20" s="34">
        <f t="shared" si="7"/>
        <v>1.3346861337811613</v>
      </c>
      <c r="AK20" s="64"/>
      <c r="AL20" s="4"/>
      <c r="AM20" s="4"/>
      <c r="AN20" s="4"/>
      <c r="AO20" s="4"/>
      <c r="AP20" s="4"/>
      <c r="AQ20" s="65"/>
      <c r="AR20" s="64"/>
      <c r="AS20" s="4"/>
      <c r="AT20" s="4"/>
      <c r="AU20" s="4"/>
      <c r="AV20" s="4"/>
      <c r="AW20" s="4"/>
      <c r="AX20" s="65"/>
    </row>
    <row r="21" spans="1:50" ht="15.75" thickBot="1">
      <c r="A21" s="80">
        <v>13</v>
      </c>
      <c r="B21" s="22">
        <v>493.41</v>
      </c>
      <c r="C21" s="22">
        <v>500.79</v>
      </c>
      <c r="D21" s="22">
        <v>495.73</v>
      </c>
      <c r="E21" s="22">
        <v>498.1</v>
      </c>
      <c r="F21" s="22">
        <v>490.82</v>
      </c>
      <c r="G21" s="22">
        <v>497.1</v>
      </c>
      <c r="H21" s="22">
        <v>503.22</v>
      </c>
      <c r="I21" s="22">
        <v>491.98</v>
      </c>
      <c r="J21" s="22">
        <v>491.89</v>
      </c>
      <c r="K21" s="22">
        <v>497.1</v>
      </c>
      <c r="L21" s="22">
        <v>501.62</v>
      </c>
      <c r="M21" s="22">
        <v>500.07</v>
      </c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54">
        <f t="shared" si="0"/>
        <v>496.81916666666666</v>
      </c>
      <c r="AB21" s="32">
        <f t="shared" si="1"/>
        <v>496.58749999999998</v>
      </c>
      <c r="AC21" s="32">
        <f t="shared" si="6"/>
        <v>499.92798563426584</v>
      </c>
      <c r="AD21" s="32">
        <f t="shared" si="2"/>
        <v>493.24701436573412</v>
      </c>
      <c r="AE21" s="32">
        <f t="shared" si="3"/>
        <v>4.141423686549734</v>
      </c>
      <c r="AF21" s="33">
        <f t="shared" si="4"/>
        <v>3.770299812941134</v>
      </c>
      <c r="AG21" s="34">
        <f t="shared" si="5"/>
        <v>6.2059134921011063</v>
      </c>
      <c r="AH21" s="34">
        <f t="shared" si="7"/>
        <v>1.3346861337811613</v>
      </c>
      <c r="AK21" s="64"/>
      <c r="AL21" s="4"/>
      <c r="AM21" s="4"/>
      <c r="AN21" s="4"/>
      <c r="AO21" s="4"/>
      <c r="AP21" s="4"/>
      <c r="AQ21" s="65"/>
      <c r="AR21" s="64"/>
      <c r="AS21" s="4"/>
      <c r="AT21" s="4"/>
      <c r="AU21" s="4"/>
      <c r="AV21" s="4"/>
      <c r="AW21" s="4"/>
      <c r="AX21" s="65"/>
    </row>
    <row r="22" spans="1:50" ht="15.75" thickBot="1">
      <c r="A22" s="80">
        <v>14</v>
      </c>
      <c r="B22" s="22">
        <v>494.72</v>
      </c>
      <c r="C22" s="22">
        <v>502.11</v>
      </c>
      <c r="D22" s="22">
        <v>497.99</v>
      </c>
      <c r="E22" s="22">
        <v>503.19</v>
      </c>
      <c r="F22" s="22">
        <v>494.98</v>
      </c>
      <c r="G22" s="22">
        <v>502.7</v>
      </c>
      <c r="H22" s="22">
        <v>493.99</v>
      </c>
      <c r="I22" s="22">
        <v>502.21</v>
      </c>
      <c r="J22" s="22">
        <v>498.62</v>
      </c>
      <c r="K22" s="22">
        <v>502.7</v>
      </c>
      <c r="L22" s="22">
        <v>495.58</v>
      </c>
      <c r="M22" s="22">
        <v>502.11</v>
      </c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54">
        <f t="shared" si="0"/>
        <v>499.24166666666662</v>
      </c>
      <c r="AB22" s="32">
        <f t="shared" si="1"/>
        <v>496.58749999999998</v>
      </c>
      <c r="AC22" s="32">
        <f t="shared" si="6"/>
        <v>499.92798563426584</v>
      </c>
      <c r="AD22" s="32">
        <f t="shared" si="2"/>
        <v>493.24701436573412</v>
      </c>
      <c r="AE22" s="32">
        <f t="shared" si="3"/>
        <v>3.6472077322829022</v>
      </c>
      <c r="AF22" s="33">
        <f t="shared" si="4"/>
        <v>3.770299812941134</v>
      </c>
      <c r="AG22" s="34">
        <f t="shared" si="5"/>
        <v>6.2059134921011063</v>
      </c>
      <c r="AH22" s="34">
        <f t="shared" si="7"/>
        <v>1.3346861337811613</v>
      </c>
      <c r="AK22" s="64"/>
      <c r="AL22" s="4"/>
      <c r="AM22" s="4"/>
      <c r="AN22" s="4"/>
      <c r="AO22" s="4"/>
      <c r="AP22" s="4"/>
      <c r="AQ22" s="65"/>
      <c r="AR22" s="64"/>
      <c r="AS22" s="4"/>
      <c r="AT22" s="4"/>
      <c r="AU22" s="4"/>
      <c r="AV22" s="4"/>
      <c r="AW22" s="4"/>
      <c r="AX22" s="65"/>
    </row>
    <row r="23" spans="1:50" ht="15.75" thickBot="1">
      <c r="A23" s="80">
        <v>15</v>
      </c>
      <c r="B23" s="22">
        <v>492.98</v>
      </c>
      <c r="C23" s="22">
        <v>490.51</v>
      </c>
      <c r="D23" s="22">
        <v>498.55</v>
      </c>
      <c r="E23" s="22">
        <v>497.79</v>
      </c>
      <c r="F23" s="22">
        <v>498.98</v>
      </c>
      <c r="G23" s="22">
        <v>497.37</v>
      </c>
      <c r="H23" s="22">
        <v>500.97</v>
      </c>
      <c r="I23" s="22">
        <v>490.12</v>
      </c>
      <c r="J23" s="22">
        <v>502.17</v>
      </c>
      <c r="K23" s="22">
        <v>497.37</v>
      </c>
      <c r="L23" s="22">
        <v>489.84</v>
      </c>
      <c r="M23" s="22">
        <v>493.07</v>
      </c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54">
        <f t="shared" si="0"/>
        <v>495.80999999999995</v>
      </c>
      <c r="AB23" s="32">
        <f t="shared" si="1"/>
        <v>496.58749999999998</v>
      </c>
      <c r="AC23" s="32">
        <f t="shared" si="6"/>
        <v>499.92798563426584</v>
      </c>
      <c r="AD23" s="32">
        <f t="shared" si="2"/>
        <v>493.24701436573412</v>
      </c>
      <c r="AE23" s="32">
        <f t="shared" si="3"/>
        <v>4.3174361078601544</v>
      </c>
      <c r="AF23" s="33">
        <f t="shared" si="4"/>
        <v>3.770299812941134</v>
      </c>
      <c r="AG23" s="34">
        <f t="shared" si="5"/>
        <v>6.2059134921011063</v>
      </c>
      <c r="AH23" s="34">
        <f t="shared" si="7"/>
        <v>1.3346861337811613</v>
      </c>
      <c r="AK23" s="64"/>
      <c r="AL23" s="4"/>
      <c r="AM23" s="4"/>
      <c r="AN23" s="4"/>
      <c r="AO23" s="4"/>
      <c r="AP23" s="4"/>
      <c r="AQ23" s="65"/>
      <c r="AR23" s="64"/>
      <c r="AS23" s="4"/>
      <c r="AT23" s="4"/>
      <c r="AU23" s="4"/>
      <c r="AV23" s="4"/>
      <c r="AW23" s="4"/>
      <c r="AX23" s="65"/>
    </row>
    <row r="24" spans="1:50" ht="15.75" thickBot="1">
      <c r="A24" s="80"/>
      <c r="B24" s="24"/>
      <c r="C24" s="24"/>
      <c r="D24" s="24"/>
      <c r="E24" s="24"/>
      <c r="F24" s="24"/>
      <c r="G24" s="82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54" t="str">
        <f t="shared" si="0"/>
        <v/>
      </c>
      <c r="AB24" s="32" t="str">
        <f t="shared" si="1"/>
        <v/>
      </c>
      <c r="AC24" s="32" t="str">
        <f t="shared" si="6"/>
        <v/>
      </c>
      <c r="AD24" s="32" t="str">
        <f t="shared" si="2"/>
        <v/>
      </c>
      <c r="AE24" s="32" t="str">
        <f t="shared" si="3"/>
        <v/>
      </c>
      <c r="AF24" s="33" t="str">
        <f t="shared" si="4"/>
        <v/>
      </c>
      <c r="AG24" s="34" t="str">
        <f t="shared" si="5"/>
        <v/>
      </c>
      <c r="AH24" s="34" t="str">
        <f t="shared" si="7"/>
        <v/>
      </c>
      <c r="AK24" s="64"/>
      <c r="AL24" s="4"/>
      <c r="AM24" s="4"/>
      <c r="AN24" s="4"/>
      <c r="AO24" s="4"/>
      <c r="AP24" s="4"/>
      <c r="AQ24" s="65"/>
      <c r="AR24" s="64"/>
      <c r="AS24" s="4"/>
      <c r="AT24" s="4"/>
      <c r="AU24" s="4"/>
      <c r="AV24" s="4"/>
      <c r="AW24" s="4"/>
      <c r="AX24" s="65"/>
    </row>
    <row r="25" spans="1:50" ht="15.75" thickBot="1">
      <c r="A25" s="80"/>
      <c r="B25" s="24"/>
      <c r="C25" s="24"/>
      <c r="D25" s="24"/>
      <c r="E25" s="24"/>
      <c r="F25" s="24"/>
      <c r="G25" s="82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54" t="str">
        <f t="shared" si="0"/>
        <v/>
      </c>
      <c r="AB25" s="32" t="str">
        <f t="shared" si="1"/>
        <v/>
      </c>
      <c r="AC25" s="32" t="str">
        <f t="shared" si="6"/>
        <v/>
      </c>
      <c r="AD25" s="32" t="str">
        <f t="shared" si="2"/>
        <v/>
      </c>
      <c r="AE25" s="32" t="str">
        <f t="shared" si="3"/>
        <v/>
      </c>
      <c r="AF25" s="33" t="str">
        <f t="shared" si="4"/>
        <v/>
      </c>
      <c r="AG25" s="34" t="str">
        <f t="shared" si="5"/>
        <v/>
      </c>
      <c r="AH25" s="34" t="str">
        <f t="shared" si="7"/>
        <v/>
      </c>
      <c r="AK25" s="64"/>
      <c r="AL25" s="4"/>
      <c r="AM25" s="4"/>
      <c r="AN25" s="4"/>
      <c r="AO25" s="4"/>
      <c r="AP25" s="4"/>
      <c r="AQ25" s="65"/>
      <c r="AR25" s="64"/>
      <c r="AS25" s="4"/>
      <c r="AT25" s="4"/>
      <c r="AU25" s="4"/>
      <c r="AV25" s="4"/>
      <c r="AW25" s="4"/>
      <c r="AX25" s="65"/>
    </row>
    <row r="26" spans="1:50" ht="15.75" thickBot="1">
      <c r="A26" s="80"/>
      <c r="B26" s="24"/>
      <c r="C26" s="24"/>
      <c r="D26" s="24"/>
      <c r="E26" s="24"/>
      <c r="F26" s="24"/>
      <c r="G26" s="82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54" t="str">
        <f t="shared" si="0"/>
        <v/>
      </c>
      <c r="AB26" s="32" t="str">
        <f t="shared" si="1"/>
        <v/>
      </c>
      <c r="AC26" s="32" t="str">
        <f t="shared" si="6"/>
        <v/>
      </c>
      <c r="AD26" s="32" t="str">
        <f t="shared" si="2"/>
        <v/>
      </c>
      <c r="AE26" s="32" t="str">
        <f t="shared" si="3"/>
        <v/>
      </c>
      <c r="AF26" s="33" t="str">
        <f t="shared" si="4"/>
        <v/>
      </c>
      <c r="AG26" s="34" t="str">
        <f t="shared" si="5"/>
        <v/>
      </c>
      <c r="AH26" s="34" t="str">
        <f t="shared" si="7"/>
        <v/>
      </c>
      <c r="AK26" s="64"/>
      <c r="AL26" s="4"/>
      <c r="AM26" s="4"/>
      <c r="AN26" s="4"/>
      <c r="AO26" s="4"/>
      <c r="AP26" s="4"/>
      <c r="AQ26" s="65"/>
      <c r="AR26" s="64"/>
      <c r="AS26" s="4"/>
      <c r="AT26" s="4"/>
      <c r="AU26" s="4"/>
      <c r="AV26" s="4"/>
      <c r="AW26" s="4"/>
      <c r="AX26" s="65"/>
    </row>
    <row r="27" spans="1:50" ht="15.75" thickBot="1">
      <c r="A27" s="80"/>
      <c r="B27" s="24"/>
      <c r="C27" s="24"/>
      <c r="D27" s="24"/>
      <c r="E27" s="24"/>
      <c r="F27" s="24"/>
      <c r="G27" s="82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54" t="str">
        <f t="shared" si="0"/>
        <v/>
      </c>
      <c r="AB27" s="32" t="str">
        <f t="shared" si="1"/>
        <v/>
      </c>
      <c r="AC27" s="32" t="str">
        <f t="shared" si="6"/>
        <v/>
      </c>
      <c r="AD27" s="32" t="str">
        <f t="shared" si="2"/>
        <v/>
      </c>
      <c r="AE27" s="32" t="str">
        <f t="shared" si="3"/>
        <v/>
      </c>
      <c r="AF27" s="33" t="str">
        <f t="shared" si="4"/>
        <v/>
      </c>
      <c r="AG27" s="34" t="str">
        <f t="shared" si="5"/>
        <v/>
      </c>
      <c r="AH27" s="34" t="str">
        <f t="shared" si="7"/>
        <v/>
      </c>
      <c r="AK27" s="64"/>
      <c r="AL27" s="4"/>
      <c r="AM27" s="4"/>
      <c r="AN27" s="4"/>
      <c r="AO27" s="4"/>
      <c r="AP27" s="4"/>
      <c r="AQ27" s="65"/>
      <c r="AR27" s="64"/>
      <c r="AS27" s="4"/>
      <c r="AT27" s="4"/>
      <c r="AU27" s="4"/>
      <c r="AV27" s="4"/>
      <c r="AW27" s="4"/>
      <c r="AX27" s="65"/>
    </row>
    <row r="28" spans="1:50" ht="15.75" thickBot="1">
      <c r="A28" s="80"/>
      <c r="B28" s="24"/>
      <c r="C28" s="24"/>
      <c r="D28" s="24"/>
      <c r="E28" s="24"/>
      <c r="F28" s="24"/>
      <c r="G28" s="82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54" t="str">
        <f t="shared" si="0"/>
        <v/>
      </c>
      <c r="AB28" s="32" t="str">
        <f t="shared" si="1"/>
        <v/>
      </c>
      <c r="AC28" s="32" t="str">
        <f t="shared" si="6"/>
        <v/>
      </c>
      <c r="AD28" s="32" t="str">
        <f t="shared" si="2"/>
        <v/>
      </c>
      <c r="AE28" s="32" t="str">
        <f t="shared" si="3"/>
        <v/>
      </c>
      <c r="AF28" s="33" t="str">
        <f t="shared" si="4"/>
        <v/>
      </c>
      <c r="AG28" s="34" t="str">
        <f t="shared" si="5"/>
        <v/>
      </c>
      <c r="AH28" s="34" t="str">
        <f t="shared" si="7"/>
        <v/>
      </c>
      <c r="AK28" s="64"/>
      <c r="AL28" s="4"/>
      <c r="AM28" s="4"/>
      <c r="AN28" s="4"/>
      <c r="AO28" s="4"/>
      <c r="AP28" s="4"/>
      <c r="AQ28" s="65"/>
      <c r="AR28" s="64"/>
      <c r="AS28" s="4"/>
      <c r="AT28" s="4"/>
      <c r="AU28" s="4"/>
      <c r="AV28" s="4"/>
      <c r="AW28" s="4"/>
      <c r="AX28" s="65"/>
    </row>
    <row r="29" spans="1:50" ht="15.75" thickBot="1">
      <c r="A29" s="80"/>
      <c r="B29" s="24"/>
      <c r="C29" s="24"/>
      <c r="D29" s="24"/>
      <c r="E29" s="24"/>
      <c r="F29" s="24"/>
      <c r="G29" s="82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54" t="str">
        <f t="shared" si="0"/>
        <v/>
      </c>
      <c r="AB29" s="32" t="str">
        <f t="shared" si="1"/>
        <v/>
      </c>
      <c r="AC29" s="32" t="str">
        <f t="shared" si="6"/>
        <v/>
      </c>
      <c r="AD29" s="32" t="str">
        <f t="shared" si="2"/>
        <v/>
      </c>
      <c r="AE29" s="32" t="str">
        <f t="shared" si="3"/>
        <v/>
      </c>
      <c r="AF29" s="33" t="str">
        <f t="shared" si="4"/>
        <v/>
      </c>
      <c r="AG29" s="34" t="str">
        <f t="shared" si="5"/>
        <v/>
      </c>
      <c r="AH29" s="34" t="str">
        <f t="shared" si="7"/>
        <v/>
      </c>
      <c r="AK29" s="64"/>
      <c r="AL29" s="4"/>
      <c r="AM29" s="4"/>
      <c r="AN29" s="4"/>
      <c r="AO29" s="4"/>
      <c r="AP29" s="4"/>
      <c r="AQ29" s="65"/>
      <c r="AR29" s="64"/>
      <c r="AS29" s="4"/>
      <c r="AT29" s="4"/>
      <c r="AU29" s="4"/>
      <c r="AV29" s="4"/>
      <c r="AW29" s="4"/>
      <c r="AX29" s="65"/>
    </row>
    <row r="30" spans="1:50" ht="15.75" thickBot="1">
      <c r="A30" s="80"/>
      <c r="B30" s="24"/>
      <c r="C30" s="24"/>
      <c r="D30" s="24"/>
      <c r="E30" s="24"/>
      <c r="F30" s="24"/>
      <c r="G30" s="82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54" t="str">
        <f t="shared" si="0"/>
        <v/>
      </c>
      <c r="AB30" s="32" t="str">
        <f t="shared" si="1"/>
        <v/>
      </c>
      <c r="AC30" s="32" t="str">
        <f t="shared" si="6"/>
        <v/>
      </c>
      <c r="AD30" s="32" t="str">
        <f t="shared" si="2"/>
        <v/>
      </c>
      <c r="AE30" s="32" t="str">
        <f t="shared" si="3"/>
        <v/>
      </c>
      <c r="AF30" s="33" t="str">
        <f t="shared" si="4"/>
        <v/>
      </c>
      <c r="AG30" s="34" t="str">
        <f t="shared" si="5"/>
        <v/>
      </c>
      <c r="AH30" s="34" t="str">
        <f t="shared" si="7"/>
        <v/>
      </c>
      <c r="AK30" s="64"/>
      <c r="AL30" s="4"/>
      <c r="AM30" s="4"/>
      <c r="AN30" s="4"/>
      <c r="AO30" s="4"/>
      <c r="AP30" s="4"/>
      <c r="AQ30" s="65"/>
      <c r="AR30" s="64"/>
      <c r="AS30" s="4"/>
      <c r="AT30" s="4"/>
      <c r="AU30" s="4"/>
      <c r="AV30" s="4"/>
      <c r="AW30" s="4"/>
      <c r="AX30" s="65"/>
    </row>
    <row r="31" spans="1:50" ht="15.75" thickBot="1">
      <c r="A31" s="80"/>
      <c r="B31" s="24"/>
      <c r="C31" s="24"/>
      <c r="D31" s="24"/>
      <c r="E31" s="24"/>
      <c r="F31" s="24"/>
      <c r="G31" s="82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54" t="str">
        <f t="shared" si="0"/>
        <v/>
      </c>
      <c r="AB31" s="32" t="str">
        <f t="shared" si="1"/>
        <v/>
      </c>
      <c r="AC31" s="32" t="str">
        <f t="shared" si="6"/>
        <v/>
      </c>
      <c r="AD31" s="32" t="str">
        <f t="shared" si="2"/>
        <v/>
      </c>
      <c r="AE31" s="32" t="str">
        <f t="shared" si="3"/>
        <v/>
      </c>
      <c r="AF31" s="33" t="str">
        <f t="shared" si="4"/>
        <v/>
      </c>
      <c r="AG31" s="34" t="str">
        <f t="shared" si="5"/>
        <v/>
      </c>
      <c r="AH31" s="34" t="str">
        <f t="shared" si="7"/>
        <v/>
      </c>
      <c r="AK31" s="64"/>
      <c r="AL31" s="4"/>
      <c r="AM31" s="4"/>
      <c r="AN31" s="4"/>
      <c r="AO31" s="4"/>
      <c r="AP31" s="4"/>
      <c r="AQ31" s="65"/>
      <c r="AR31" s="64"/>
      <c r="AS31" s="4"/>
      <c r="AT31" s="4"/>
      <c r="AU31" s="4"/>
      <c r="AV31" s="4"/>
      <c r="AW31" s="4"/>
      <c r="AX31" s="65"/>
    </row>
    <row r="32" spans="1:50" ht="15.75" thickBot="1">
      <c r="A32" s="80"/>
      <c r="B32" s="24"/>
      <c r="C32" s="24"/>
      <c r="D32" s="24"/>
      <c r="E32" s="24"/>
      <c r="F32" s="24"/>
      <c r="G32" s="82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54" t="str">
        <f t="shared" si="0"/>
        <v/>
      </c>
      <c r="AB32" s="32" t="str">
        <f t="shared" si="1"/>
        <v/>
      </c>
      <c r="AC32" s="32" t="str">
        <f t="shared" si="6"/>
        <v/>
      </c>
      <c r="AD32" s="32" t="str">
        <f t="shared" si="2"/>
        <v/>
      </c>
      <c r="AE32" s="32" t="str">
        <f t="shared" si="3"/>
        <v/>
      </c>
      <c r="AF32" s="33" t="str">
        <f t="shared" si="4"/>
        <v/>
      </c>
      <c r="AG32" s="34" t="str">
        <f t="shared" si="5"/>
        <v/>
      </c>
      <c r="AH32" s="34" t="str">
        <f t="shared" si="7"/>
        <v/>
      </c>
      <c r="AK32" s="64"/>
      <c r="AL32" s="4"/>
      <c r="AM32" s="4"/>
      <c r="AN32" s="4"/>
      <c r="AO32" s="4"/>
      <c r="AP32" s="4"/>
      <c r="AQ32" s="65"/>
      <c r="AR32" s="64"/>
      <c r="AS32" s="4"/>
      <c r="AT32" s="4"/>
      <c r="AU32" s="4"/>
      <c r="AV32" s="4"/>
      <c r="AW32" s="4"/>
      <c r="AX32" s="65"/>
    </row>
    <row r="33" spans="1:50" ht="18" customHeight="1" thickBot="1">
      <c r="A33" s="80"/>
      <c r="B33" s="24"/>
      <c r="C33" s="24"/>
      <c r="D33" s="24"/>
      <c r="E33" s="24"/>
      <c r="F33" s="24"/>
      <c r="G33" s="82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54" t="str">
        <f t="shared" si="0"/>
        <v/>
      </c>
      <c r="AB33" s="32" t="str">
        <f t="shared" si="1"/>
        <v/>
      </c>
      <c r="AC33" s="32" t="str">
        <f t="shared" si="6"/>
        <v/>
      </c>
      <c r="AD33" s="32" t="str">
        <f t="shared" si="2"/>
        <v/>
      </c>
      <c r="AE33" s="32" t="str">
        <f t="shared" si="3"/>
        <v/>
      </c>
      <c r="AF33" s="33" t="str">
        <f t="shared" si="4"/>
        <v/>
      </c>
      <c r="AG33" s="34" t="str">
        <f t="shared" si="5"/>
        <v/>
      </c>
      <c r="AH33" s="34" t="str">
        <f t="shared" si="7"/>
        <v/>
      </c>
      <c r="AK33" s="64"/>
      <c r="AL33" s="4"/>
      <c r="AM33" s="4"/>
      <c r="AN33" s="4"/>
      <c r="AO33" s="4"/>
      <c r="AP33" s="4"/>
      <c r="AQ33" s="65"/>
      <c r="AR33" s="64"/>
      <c r="AS33" s="4"/>
      <c r="AT33" s="4"/>
      <c r="AU33" s="4"/>
      <c r="AV33" s="4"/>
      <c r="AW33" s="4"/>
      <c r="AX33" s="65"/>
    </row>
    <row r="34" spans="1:50" ht="15.75" thickBot="1">
      <c r="A34" s="80"/>
      <c r="B34" s="24"/>
      <c r="C34" s="24"/>
      <c r="D34" s="24"/>
      <c r="E34" s="24"/>
      <c r="F34" s="24"/>
      <c r="G34" s="82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54" t="str">
        <f t="shared" si="0"/>
        <v/>
      </c>
      <c r="AB34" s="32" t="str">
        <f t="shared" si="1"/>
        <v/>
      </c>
      <c r="AC34" s="32" t="str">
        <f t="shared" si="6"/>
        <v/>
      </c>
      <c r="AD34" s="32" t="str">
        <f t="shared" si="2"/>
        <v/>
      </c>
      <c r="AE34" s="32" t="str">
        <f t="shared" si="3"/>
        <v/>
      </c>
      <c r="AF34" s="33" t="str">
        <f t="shared" si="4"/>
        <v/>
      </c>
      <c r="AG34" s="34" t="str">
        <f t="shared" si="5"/>
        <v/>
      </c>
      <c r="AH34" s="34" t="str">
        <f t="shared" si="7"/>
        <v/>
      </c>
      <c r="AK34" s="66"/>
      <c r="AL34" s="67"/>
      <c r="AM34" s="67"/>
      <c r="AN34" s="67"/>
      <c r="AO34" s="67"/>
      <c r="AP34" s="67"/>
      <c r="AQ34" s="68"/>
      <c r="AR34" s="66"/>
      <c r="AS34" s="67"/>
      <c r="AT34" s="67"/>
      <c r="AU34" s="67"/>
      <c r="AV34" s="67"/>
      <c r="AW34" s="67"/>
      <c r="AX34" s="68"/>
    </row>
    <row r="35" spans="1:50" ht="15.75" thickBot="1">
      <c r="A35" s="80"/>
      <c r="B35" s="24"/>
      <c r="C35" s="24"/>
      <c r="D35" s="24"/>
      <c r="E35" s="24"/>
      <c r="F35" s="24"/>
      <c r="G35" s="82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54" t="str">
        <f t="shared" si="0"/>
        <v/>
      </c>
      <c r="AB35" s="32" t="str">
        <f t="shared" si="1"/>
        <v/>
      </c>
      <c r="AC35" s="32" t="str">
        <f t="shared" si="6"/>
        <v/>
      </c>
      <c r="AD35" s="32" t="str">
        <f t="shared" si="2"/>
        <v/>
      </c>
      <c r="AE35" s="32" t="str">
        <f t="shared" si="3"/>
        <v/>
      </c>
      <c r="AF35" s="33" t="str">
        <f t="shared" si="4"/>
        <v/>
      </c>
      <c r="AG35" s="34" t="str">
        <f t="shared" si="5"/>
        <v/>
      </c>
      <c r="AH35" s="34" t="str">
        <f t="shared" si="7"/>
        <v/>
      </c>
    </row>
    <row r="36" spans="1:50" ht="15.75" thickBot="1">
      <c r="A36" s="80"/>
      <c r="B36" s="24"/>
      <c r="C36" s="24"/>
      <c r="D36" s="24"/>
      <c r="E36" s="24"/>
      <c r="F36" s="24"/>
      <c r="G36" s="82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54" t="str">
        <f t="shared" si="0"/>
        <v/>
      </c>
      <c r="AB36" s="32" t="str">
        <f t="shared" si="1"/>
        <v/>
      </c>
      <c r="AC36" s="32" t="str">
        <f t="shared" si="6"/>
        <v/>
      </c>
      <c r="AD36" s="32" t="str">
        <f t="shared" si="2"/>
        <v/>
      </c>
      <c r="AE36" s="32" t="str">
        <f t="shared" si="3"/>
        <v/>
      </c>
      <c r="AF36" s="33" t="str">
        <f t="shared" si="4"/>
        <v/>
      </c>
      <c r="AG36" s="34" t="str">
        <f t="shared" si="5"/>
        <v/>
      </c>
      <c r="AH36" s="34" t="str">
        <f t="shared" si="7"/>
        <v/>
      </c>
      <c r="AL36" s="84"/>
      <c r="AM36" s="84"/>
      <c r="AN36" s="84"/>
      <c r="AO36" s="84"/>
      <c r="AP36" s="84"/>
      <c r="AQ36" s="84"/>
    </row>
    <row r="37" spans="1:50" ht="15.75" thickBot="1">
      <c r="A37" s="80"/>
      <c r="B37" s="24"/>
      <c r="C37" s="24"/>
      <c r="D37" s="24"/>
      <c r="E37" s="24"/>
      <c r="F37" s="24"/>
      <c r="G37" s="82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54" t="str">
        <f t="shared" si="0"/>
        <v/>
      </c>
      <c r="AB37" s="32" t="str">
        <f t="shared" si="1"/>
        <v/>
      </c>
      <c r="AC37" s="32" t="str">
        <f t="shared" si="6"/>
        <v/>
      </c>
      <c r="AD37" s="32" t="str">
        <f t="shared" si="2"/>
        <v/>
      </c>
      <c r="AE37" s="32" t="str">
        <f t="shared" si="3"/>
        <v/>
      </c>
      <c r="AF37" s="33" t="str">
        <f t="shared" si="4"/>
        <v/>
      </c>
      <c r="AG37" s="34" t="str">
        <f t="shared" si="5"/>
        <v/>
      </c>
      <c r="AH37" s="34" t="str">
        <f t="shared" si="7"/>
        <v/>
      </c>
      <c r="AL37" s="84"/>
      <c r="AM37" s="84"/>
      <c r="AN37" s="84"/>
      <c r="AO37" s="84"/>
      <c r="AP37" s="84"/>
      <c r="AQ37" s="84"/>
    </row>
    <row r="38" spans="1:50" ht="15.75" thickBot="1">
      <c r="A38" s="80"/>
      <c r="B38" s="24"/>
      <c r="C38" s="24"/>
      <c r="D38" s="24"/>
      <c r="E38" s="24"/>
      <c r="F38" s="24"/>
      <c r="G38" s="82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54" t="str">
        <f t="shared" si="0"/>
        <v/>
      </c>
      <c r="AB38" s="32" t="str">
        <f t="shared" si="1"/>
        <v/>
      </c>
      <c r="AC38" s="32" t="str">
        <f t="shared" si="6"/>
        <v/>
      </c>
      <c r="AD38" s="32" t="str">
        <f t="shared" si="2"/>
        <v/>
      </c>
      <c r="AE38" s="32" t="str">
        <f t="shared" si="3"/>
        <v/>
      </c>
      <c r="AF38" s="33" t="str">
        <f t="shared" si="4"/>
        <v/>
      </c>
      <c r="AG38" s="34" t="str">
        <f t="shared" si="5"/>
        <v/>
      </c>
      <c r="AH38" s="34" t="str">
        <f t="shared" si="7"/>
        <v/>
      </c>
      <c r="AL38" s="84"/>
      <c r="AM38" s="84"/>
      <c r="AN38" s="84"/>
      <c r="AO38" s="84"/>
      <c r="AP38" s="84"/>
      <c r="AQ38" s="84"/>
    </row>
    <row r="39" spans="1:50" ht="15.75" thickBot="1">
      <c r="A39" s="80"/>
      <c r="B39" s="24"/>
      <c r="C39" s="24"/>
      <c r="D39" s="24"/>
      <c r="E39" s="24"/>
      <c r="F39" s="24"/>
      <c r="G39" s="82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54" t="str">
        <f t="shared" si="0"/>
        <v/>
      </c>
      <c r="AB39" s="32" t="str">
        <f t="shared" si="1"/>
        <v/>
      </c>
      <c r="AC39" s="32" t="str">
        <f t="shared" si="6"/>
        <v/>
      </c>
      <c r="AD39" s="32" t="str">
        <f t="shared" si="2"/>
        <v/>
      </c>
      <c r="AE39" s="32" t="str">
        <f t="shared" si="3"/>
        <v/>
      </c>
      <c r="AF39" s="33" t="str">
        <f t="shared" si="4"/>
        <v/>
      </c>
      <c r="AG39" s="34" t="str">
        <f t="shared" si="5"/>
        <v/>
      </c>
      <c r="AH39" s="34" t="str">
        <f t="shared" si="7"/>
        <v/>
      </c>
      <c r="AL39" s="84"/>
      <c r="AM39" s="84"/>
      <c r="AN39" s="84"/>
      <c r="AO39" s="84"/>
      <c r="AP39" s="84"/>
      <c r="AQ39" s="84"/>
    </row>
    <row r="40" spans="1:50" ht="15.75" thickBot="1">
      <c r="A40" s="80"/>
      <c r="B40" s="24"/>
      <c r="C40" s="24"/>
      <c r="D40" s="24"/>
      <c r="E40" s="24"/>
      <c r="F40" s="24"/>
      <c r="G40" s="82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54" t="str">
        <f t="shared" si="0"/>
        <v/>
      </c>
      <c r="AB40" s="32" t="str">
        <f t="shared" si="1"/>
        <v/>
      </c>
      <c r="AC40" s="32" t="str">
        <f t="shared" si="6"/>
        <v/>
      </c>
      <c r="AD40" s="32" t="str">
        <f t="shared" si="2"/>
        <v/>
      </c>
      <c r="AE40" s="32" t="str">
        <f t="shared" si="3"/>
        <v/>
      </c>
      <c r="AF40" s="33" t="str">
        <f t="shared" si="4"/>
        <v/>
      </c>
      <c r="AG40" s="34" t="str">
        <f t="shared" si="5"/>
        <v/>
      </c>
      <c r="AH40" s="34" t="str">
        <f t="shared" si="7"/>
        <v/>
      </c>
      <c r="AL40" s="84"/>
      <c r="AM40" s="84"/>
      <c r="AN40" s="84"/>
      <c r="AO40" s="84"/>
      <c r="AP40" s="84"/>
      <c r="AQ40" s="84"/>
    </row>
    <row r="41" spans="1:50" ht="15.75" thickBot="1">
      <c r="A41" s="80"/>
      <c r="B41" s="24"/>
      <c r="C41" s="24"/>
      <c r="D41" s="24"/>
      <c r="E41" s="24"/>
      <c r="F41" s="24"/>
      <c r="G41" s="82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54" t="str">
        <f t="shared" ref="AA41:AA72" si="8">IF(SUM(B41:Z41)&gt;0,AVERAGE(B41:Z41),"")</f>
        <v/>
      </c>
      <c r="AB41" s="32" t="str">
        <f t="shared" ref="AB41:AB72" si="9">IF(SUM(B41:Z41)&gt;0,AVERAGE($AA$9:$AA$116),"")</f>
        <v/>
      </c>
      <c r="AC41" s="32" t="str">
        <f t="shared" si="6"/>
        <v/>
      </c>
      <c r="AD41" s="32" t="str">
        <f t="shared" si="2"/>
        <v/>
      </c>
      <c r="AE41" s="32" t="str">
        <f t="shared" ref="AE41:AE72" si="10">IF(SUM(B41:Z41)&gt;0,STDEV(B41:Z41),"")</f>
        <v/>
      </c>
      <c r="AF41" s="33" t="str">
        <f t="shared" ref="AF41:AF72" si="11">IF(SUM(B41:Z41)&gt;0,AVERAGE($AE$9:$AE$116),"")</f>
        <v/>
      </c>
      <c r="AG41" s="34" t="str">
        <f t="shared" ref="AG41:AG72" si="12">IF(SUM(B41:Z41)&gt;0,$AD$5*AF41,"")</f>
        <v/>
      </c>
      <c r="AH41" s="34" t="str">
        <f t="shared" ref="AH41:AH72" si="13">IF(SUM(B41:Z41)&gt;0,$AD$4*AF41,"")</f>
        <v/>
      </c>
      <c r="AL41" s="84"/>
      <c r="AM41" s="84"/>
      <c r="AN41" s="84"/>
      <c r="AO41" s="84"/>
      <c r="AP41" s="84"/>
      <c r="AQ41" s="84"/>
    </row>
    <row r="42" spans="1:50" ht="15.75" thickBot="1">
      <c r="A42" s="80"/>
      <c r="B42" s="24"/>
      <c r="C42" s="24"/>
      <c r="D42" s="24"/>
      <c r="E42" s="24"/>
      <c r="F42" s="24"/>
      <c r="G42" s="82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54" t="str">
        <f t="shared" si="8"/>
        <v/>
      </c>
      <c r="AB42" s="32" t="str">
        <f t="shared" si="9"/>
        <v/>
      </c>
      <c r="AC42" s="32" t="str">
        <f t="shared" si="6"/>
        <v/>
      </c>
      <c r="AD42" s="32" t="str">
        <f t="shared" si="2"/>
        <v/>
      </c>
      <c r="AE42" s="32" t="str">
        <f t="shared" si="10"/>
        <v/>
      </c>
      <c r="AF42" s="33" t="str">
        <f t="shared" si="11"/>
        <v/>
      </c>
      <c r="AG42" s="34" t="str">
        <f t="shared" si="12"/>
        <v/>
      </c>
      <c r="AH42" s="34" t="str">
        <f t="shared" si="13"/>
        <v/>
      </c>
      <c r="AL42" s="84"/>
      <c r="AM42" s="84"/>
      <c r="AN42" s="84"/>
      <c r="AO42" s="84"/>
      <c r="AP42" s="84"/>
      <c r="AQ42" s="84"/>
    </row>
    <row r="43" spans="1:50" ht="15.75" thickBot="1">
      <c r="A43" s="80"/>
      <c r="B43" s="24"/>
      <c r="C43" s="24"/>
      <c r="D43" s="24"/>
      <c r="E43" s="24"/>
      <c r="F43" s="24"/>
      <c r="G43" s="82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54" t="str">
        <f t="shared" si="8"/>
        <v/>
      </c>
      <c r="AB43" s="32" t="str">
        <f t="shared" si="9"/>
        <v/>
      </c>
      <c r="AC43" s="32" t="str">
        <f t="shared" si="6"/>
        <v/>
      </c>
      <c r="AD43" s="32" t="str">
        <f t="shared" si="2"/>
        <v/>
      </c>
      <c r="AE43" s="32" t="str">
        <f t="shared" si="10"/>
        <v/>
      </c>
      <c r="AF43" s="33" t="str">
        <f t="shared" si="11"/>
        <v/>
      </c>
      <c r="AG43" s="34" t="str">
        <f t="shared" si="12"/>
        <v/>
      </c>
      <c r="AH43" s="34" t="str">
        <f t="shared" si="13"/>
        <v/>
      </c>
    </row>
    <row r="44" spans="1:50" ht="15.75" thickBot="1">
      <c r="A44" s="80"/>
      <c r="B44" s="24"/>
      <c r="C44" s="24"/>
      <c r="D44" s="24"/>
      <c r="E44" s="24"/>
      <c r="F44" s="24"/>
      <c r="G44" s="82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54" t="str">
        <f t="shared" si="8"/>
        <v/>
      </c>
      <c r="AB44" s="32" t="str">
        <f t="shared" si="9"/>
        <v/>
      </c>
      <c r="AC44" s="32" t="str">
        <f t="shared" si="6"/>
        <v/>
      </c>
      <c r="AD44" s="32" t="str">
        <f t="shared" si="2"/>
        <v/>
      </c>
      <c r="AE44" s="32" t="str">
        <f t="shared" si="10"/>
        <v/>
      </c>
      <c r="AF44" s="33" t="str">
        <f t="shared" si="11"/>
        <v/>
      </c>
      <c r="AG44" s="34" t="str">
        <f t="shared" si="12"/>
        <v/>
      </c>
      <c r="AH44" s="34" t="str">
        <f t="shared" si="13"/>
        <v/>
      </c>
    </row>
    <row r="45" spans="1:50" ht="15.75" thickBot="1">
      <c r="A45" s="80"/>
      <c r="B45" s="24"/>
      <c r="C45" s="24"/>
      <c r="D45" s="24"/>
      <c r="E45" s="24"/>
      <c r="F45" s="24"/>
      <c r="G45" s="82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54" t="str">
        <f t="shared" si="8"/>
        <v/>
      </c>
      <c r="AB45" s="32" t="str">
        <f t="shared" si="9"/>
        <v/>
      </c>
      <c r="AC45" s="32" t="str">
        <f t="shared" si="6"/>
        <v/>
      </c>
      <c r="AD45" s="32" t="str">
        <f t="shared" si="2"/>
        <v/>
      </c>
      <c r="AE45" s="32" t="str">
        <f t="shared" si="10"/>
        <v/>
      </c>
      <c r="AF45" s="33" t="str">
        <f t="shared" si="11"/>
        <v/>
      </c>
      <c r="AG45" s="34" t="str">
        <f t="shared" si="12"/>
        <v/>
      </c>
      <c r="AH45" s="34" t="str">
        <f t="shared" si="13"/>
        <v/>
      </c>
    </row>
    <row r="46" spans="1:50" ht="15.75" thickBot="1">
      <c r="A46" s="80"/>
      <c r="B46" s="24"/>
      <c r="C46" s="24"/>
      <c r="D46" s="24"/>
      <c r="E46" s="24"/>
      <c r="F46" s="24"/>
      <c r="G46" s="82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54" t="str">
        <f t="shared" si="8"/>
        <v/>
      </c>
      <c r="AB46" s="32" t="str">
        <f t="shared" si="9"/>
        <v/>
      </c>
      <c r="AC46" s="32" t="str">
        <f t="shared" si="6"/>
        <v/>
      </c>
      <c r="AD46" s="32" t="str">
        <f t="shared" si="2"/>
        <v/>
      </c>
      <c r="AE46" s="32" t="str">
        <f t="shared" si="10"/>
        <v/>
      </c>
      <c r="AF46" s="33" t="str">
        <f t="shared" si="11"/>
        <v/>
      </c>
      <c r="AG46" s="34" t="str">
        <f t="shared" si="12"/>
        <v/>
      </c>
      <c r="AH46" s="34" t="str">
        <f t="shared" si="13"/>
        <v/>
      </c>
    </row>
    <row r="47" spans="1:50" ht="15.75" thickBot="1">
      <c r="A47" s="80"/>
      <c r="B47" s="24"/>
      <c r="C47" s="24"/>
      <c r="D47" s="24"/>
      <c r="E47" s="24"/>
      <c r="F47" s="24"/>
      <c r="G47" s="82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54"/>
      <c r="AB47" s="32"/>
      <c r="AC47" s="32" t="str">
        <f t="shared" si="6"/>
        <v/>
      </c>
      <c r="AD47" s="32" t="str">
        <f t="shared" si="2"/>
        <v/>
      </c>
      <c r="AE47" s="32" t="str">
        <f t="shared" si="10"/>
        <v/>
      </c>
      <c r="AF47" s="33" t="str">
        <f t="shared" si="11"/>
        <v/>
      </c>
      <c r="AG47" s="34" t="str">
        <f t="shared" si="12"/>
        <v/>
      </c>
      <c r="AH47" s="34" t="str">
        <f t="shared" si="13"/>
        <v/>
      </c>
    </row>
    <row r="48" spans="1:50" ht="15.75" thickBot="1">
      <c r="A48" s="80"/>
      <c r="B48" s="24"/>
      <c r="C48" s="24"/>
      <c r="D48" s="24"/>
      <c r="E48" s="24"/>
      <c r="F48" s="24"/>
      <c r="G48" s="82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54" t="str">
        <f t="shared" si="8"/>
        <v/>
      </c>
      <c r="AB48" s="32" t="str">
        <f t="shared" si="9"/>
        <v/>
      </c>
      <c r="AC48" s="32" t="str">
        <f t="shared" si="6"/>
        <v/>
      </c>
      <c r="AD48" s="32" t="str">
        <f t="shared" si="2"/>
        <v/>
      </c>
      <c r="AE48" s="32" t="str">
        <f t="shared" si="10"/>
        <v/>
      </c>
      <c r="AF48" s="33" t="str">
        <f t="shared" si="11"/>
        <v/>
      </c>
      <c r="AG48" s="34" t="str">
        <f t="shared" si="12"/>
        <v/>
      </c>
      <c r="AH48" s="34" t="str">
        <f t="shared" si="13"/>
        <v/>
      </c>
    </row>
    <row r="49" spans="1:34" ht="15.75" thickBot="1">
      <c r="A49" s="2"/>
      <c r="B49" s="23"/>
      <c r="C49" s="23"/>
      <c r="D49" s="23"/>
      <c r="E49" s="23"/>
      <c r="F49" s="23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54" t="str">
        <f t="shared" si="8"/>
        <v/>
      </c>
      <c r="AB49" s="32" t="str">
        <f t="shared" si="9"/>
        <v/>
      </c>
      <c r="AC49" s="32" t="str">
        <f t="shared" si="6"/>
        <v/>
      </c>
      <c r="AD49" s="32" t="str">
        <f t="shared" si="2"/>
        <v/>
      </c>
      <c r="AE49" s="32" t="str">
        <f t="shared" si="10"/>
        <v/>
      </c>
      <c r="AF49" s="33" t="str">
        <f t="shared" si="11"/>
        <v/>
      </c>
      <c r="AG49" s="34" t="str">
        <f t="shared" si="12"/>
        <v/>
      </c>
      <c r="AH49" s="34" t="str">
        <f t="shared" si="13"/>
        <v/>
      </c>
    </row>
    <row r="50" spans="1:34" ht="15.75" thickBot="1">
      <c r="A50" s="2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54" t="str">
        <f t="shared" si="8"/>
        <v/>
      </c>
      <c r="AB50" s="32" t="str">
        <f t="shared" si="9"/>
        <v/>
      </c>
      <c r="AC50" s="32" t="str">
        <f t="shared" si="6"/>
        <v/>
      </c>
      <c r="AD50" s="32" t="str">
        <f t="shared" si="2"/>
        <v/>
      </c>
      <c r="AE50" s="32" t="str">
        <f t="shared" si="10"/>
        <v/>
      </c>
      <c r="AF50" s="33" t="str">
        <f t="shared" si="11"/>
        <v/>
      </c>
      <c r="AG50" s="34" t="str">
        <f t="shared" si="12"/>
        <v/>
      </c>
      <c r="AH50" s="34" t="str">
        <f t="shared" si="13"/>
        <v/>
      </c>
    </row>
    <row r="51" spans="1:34" ht="15.75" thickBot="1">
      <c r="A51" s="2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54" t="str">
        <f t="shared" si="8"/>
        <v/>
      </c>
      <c r="AB51" s="32" t="str">
        <f t="shared" si="9"/>
        <v/>
      </c>
      <c r="AC51" s="32" t="str">
        <f t="shared" si="6"/>
        <v/>
      </c>
      <c r="AD51" s="32" t="str">
        <f t="shared" si="2"/>
        <v/>
      </c>
      <c r="AE51" s="32" t="str">
        <f t="shared" si="10"/>
        <v/>
      </c>
      <c r="AF51" s="33" t="str">
        <f t="shared" si="11"/>
        <v/>
      </c>
      <c r="AG51" s="34" t="str">
        <f t="shared" si="12"/>
        <v/>
      </c>
      <c r="AH51" s="34" t="str">
        <f t="shared" si="13"/>
        <v/>
      </c>
    </row>
    <row r="52" spans="1:34" ht="15.75" thickBot="1">
      <c r="A52" s="2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54" t="str">
        <f t="shared" si="8"/>
        <v/>
      </c>
      <c r="AB52" s="32" t="str">
        <f t="shared" si="9"/>
        <v/>
      </c>
      <c r="AC52" s="32" t="str">
        <f t="shared" si="6"/>
        <v/>
      </c>
      <c r="AD52" s="32" t="str">
        <f t="shared" si="2"/>
        <v/>
      </c>
      <c r="AE52" s="32" t="str">
        <f t="shared" si="10"/>
        <v/>
      </c>
      <c r="AF52" s="33" t="str">
        <f t="shared" si="11"/>
        <v/>
      </c>
      <c r="AG52" s="34" t="str">
        <f t="shared" si="12"/>
        <v/>
      </c>
      <c r="AH52" s="34" t="str">
        <f t="shared" si="13"/>
        <v/>
      </c>
    </row>
    <row r="53" spans="1:34" ht="15.75" thickBot="1">
      <c r="A53" s="2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54" t="str">
        <f t="shared" si="8"/>
        <v/>
      </c>
      <c r="AB53" s="32" t="str">
        <f t="shared" si="9"/>
        <v/>
      </c>
      <c r="AC53" s="32" t="str">
        <f t="shared" si="6"/>
        <v/>
      </c>
      <c r="AD53" s="32" t="str">
        <f t="shared" si="2"/>
        <v/>
      </c>
      <c r="AE53" s="32" t="str">
        <f t="shared" si="10"/>
        <v/>
      </c>
      <c r="AF53" s="33" t="str">
        <f t="shared" si="11"/>
        <v/>
      </c>
      <c r="AG53" s="34" t="str">
        <f t="shared" si="12"/>
        <v/>
      </c>
      <c r="AH53" s="34" t="str">
        <f t="shared" si="13"/>
        <v/>
      </c>
    </row>
    <row r="54" spans="1:34" ht="15.75" thickBot="1">
      <c r="A54" s="2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54" t="str">
        <f t="shared" si="8"/>
        <v/>
      </c>
      <c r="AB54" s="32" t="str">
        <f t="shared" si="9"/>
        <v/>
      </c>
      <c r="AC54" s="32" t="str">
        <f t="shared" si="6"/>
        <v/>
      </c>
      <c r="AD54" s="32" t="str">
        <f t="shared" si="2"/>
        <v/>
      </c>
      <c r="AE54" s="32" t="str">
        <f t="shared" si="10"/>
        <v/>
      </c>
      <c r="AF54" s="33" t="str">
        <f t="shared" si="11"/>
        <v/>
      </c>
      <c r="AG54" s="34" t="str">
        <f t="shared" si="12"/>
        <v/>
      </c>
      <c r="AH54" s="34" t="str">
        <f t="shared" si="13"/>
        <v/>
      </c>
    </row>
    <row r="55" spans="1:34" ht="15.75" thickBot="1">
      <c r="A55" s="2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54" t="str">
        <f t="shared" si="8"/>
        <v/>
      </c>
      <c r="AB55" s="32" t="str">
        <f t="shared" si="9"/>
        <v/>
      </c>
      <c r="AC55" s="32" t="str">
        <f t="shared" si="6"/>
        <v/>
      </c>
      <c r="AD55" s="32" t="str">
        <f t="shared" si="2"/>
        <v/>
      </c>
      <c r="AE55" s="32" t="str">
        <f t="shared" si="10"/>
        <v/>
      </c>
      <c r="AF55" s="33" t="str">
        <f t="shared" si="11"/>
        <v/>
      </c>
      <c r="AG55" s="34" t="str">
        <f t="shared" si="12"/>
        <v/>
      </c>
      <c r="AH55" s="34" t="str">
        <f t="shared" si="13"/>
        <v/>
      </c>
    </row>
    <row r="56" spans="1:34" ht="15.75" thickBot="1">
      <c r="A56" s="2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54" t="str">
        <f t="shared" si="8"/>
        <v/>
      </c>
      <c r="AB56" s="32" t="str">
        <f t="shared" si="9"/>
        <v/>
      </c>
      <c r="AC56" s="32" t="str">
        <f t="shared" si="6"/>
        <v/>
      </c>
      <c r="AD56" s="32" t="str">
        <f t="shared" si="2"/>
        <v/>
      </c>
      <c r="AE56" s="32" t="str">
        <f t="shared" si="10"/>
        <v/>
      </c>
      <c r="AF56" s="33" t="str">
        <f t="shared" si="11"/>
        <v/>
      </c>
      <c r="AG56" s="34" t="str">
        <f t="shared" si="12"/>
        <v/>
      </c>
      <c r="AH56" s="34" t="str">
        <f t="shared" si="13"/>
        <v/>
      </c>
    </row>
    <row r="57" spans="1:34" ht="15.75" thickBot="1">
      <c r="A57" s="2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54" t="str">
        <f t="shared" si="8"/>
        <v/>
      </c>
      <c r="AB57" s="32" t="str">
        <f t="shared" si="9"/>
        <v/>
      </c>
      <c r="AC57" s="32" t="str">
        <f t="shared" si="6"/>
        <v/>
      </c>
      <c r="AD57" s="32" t="str">
        <f t="shared" si="2"/>
        <v/>
      </c>
      <c r="AE57" s="32" t="str">
        <f t="shared" si="10"/>
        <v/>
      </c>
      <c r="AF57" s="33" t="str">
        <f t="shared" si="11"/>
        <v/>
      </c>
      <c r="AG57" s="34" t="str">
        <f t="shared" si="12"/>
        <v/>
      </c>
      <c r="AH57" s="34" t="str">
        <f t="shared" si="13"/>
        <v/>
      </c>
    </row>
    <row r="58" spans="1:34" ht="15.75" thickBot="1">
      <c r="A58" s="2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54" t="str">
        <f t="shared" si="8"/>
        <v/>
      </c>
      <c r="AB58" s="32" t="str">
        <f t="shared" si="9"/>
        <v/>
      </c>
      <c r="AC58" s="32" t="str">
        <f t="shared" si="6"/>
        <v/>
      </c>
      <c r="AD58" s="32" t="str">
        <f t="shared" si="2"/>
        <v/>
      </c>
      <c r="AE58" s="32" t="str">
        <f t="shared" si="10"/>
        <v/>
      </c>
      <c r="AF58" s="33" t="str">
        <f t="shared" si="11"/>
        <v/>
      </c>
      <c r="AG58" s="34" t="str">
        <f t="shared" si="12"/>
        <v/>
      </c>
      <c r="AH58" s="34" t="str">
        <f t="shared" si="13"/>
        <v/>
      </c>
    </row>
    <row r="59" spans="1:34" ht="15.75" thickBot="1">
      <c r="A59" s="2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54" t="str">
        <f t="shared" si="8"/>
        <v/>
      </c>
      <c r="AB59" s="32" t="str">
        <f t="shared" si="9"/>
        <v/>
      </c>
      <c r="AC59" s="32" t="str">
        <f t="shared" si="6"/>
        <v/>
      </c>
      <c r="AD59" s="32" t="str">
        <f t="shared" si="2"/>
        <v/>
      </c>
      <c r="AE59" s="32" t="str">
        <f t="shared" si="10"/>
        <v/>
      </c>
      <c r="AF59" s="33" t="str">
        <f t="shared" si="11"/>
        <v/>
      </c>
      <c r="AG59" s="34" t="str">
        <f t="shared" si="12"/>
        <v/>
      </c>
      <c r="AH59" s="34" t="str">
        <f t="shared" si="13"/>
        <v/>
      </c>
    </row>
    <row r="60" spans="1:34" ht="15.75" thickBot="1">
      <c r="A60" s="2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54" t="str">
        <f t="shared" si="8"/>
        <v/>
      </c>
      <c r="AB60" s="32" t="str">
        <f t="shared" si="9"/>
        <v/>
      </c>
      <c r="AC60" s="32" t="str">
        <f t="shared" si="6"/>
        <v/>
      </c>
      <c r="AD60" s="32" t="str">
        <f t="shared" si="2"/>
        <v/>
      </c>
      <c r="AE60" s="32" t="str">
        <f t="shared" si="10"/>
        <v/>
      </c>
      <c r="AF60" s="33" t="str">
        <f t="shared" si="11"/>
        <v/>
      </c>
      <c r="AG60" s="34" t="str">
        <f t="shared" si="12"/>
        <v/>
      </c>
      <c r="AH60" s="34" t="str">
        <f t="shared" si="13"/>
        <v/>
      </c>
    </row>
    <row r="61" spans="1:34" ht="15.75" thickBot="1">
      <c r="A61" s="2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54" t="str">
        <f t="shared" si="8"/>
        <v/>
      </c>
      <c r="AB61" s="32" t="str">
        <f t="shared" si="9"/>
        <v/>
      </c>
      <c r="AC61" s="32" t="str">
        <f t="shared" si="6"/>
        <v/>
      </c>
      <c r="AD61" s="32" t="str">
        <f t="shared" si="2"/>
        <v/>
      </c>
      <c r="AE61" s="32" t="str">
        <f t="shared" si="10"/>
        <v/>
      </c>
      <c r="AF61" s="33" t="str">
        <f t="shared" si="11"/>
        <v/>
      </c>
      <c r="AG61" s="34" t="str">
        <f t="shared" si="12"/>
        <v/>
      </c>
      <c r="AH61" s="34" t="str">
        <f t="shared" si="13"/>
        <v/>
      </c>
    </row>
    <row r="62" spans="1:34" ht="15.75" thickBot="1">
      <c r="A62" s="2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54" t="str">
        <f t="shared" si="8"/>
        <v/>
      </c>
      <c r="AB62" s="32" t="str">
        <f t="shared" si="9"/>
        <v/>
      </c>
      <c r="AC62" s="32" t="str">
        <f t="shared" si="6"/>
        <v/>
      </c>
      <c r="AD62" s="32" t="str">
        <f t="shared" si="2"/>
        <v/>
      </c>
      <c r="AE62" s="32" t="str">
        <f t="shared" si="10"/>
        <v/>
      </c>
      <c r="AF62" s="33" t="str">
        <f t="shared" si="11"/>
        <v/>
      </c>
      <c r="AG62" s="34" t="str">
        <f t="shared" si="12"/>
        <v/>
      </c>
      <c r="AH62" s="34" t="str">
        <f t="shared" si="13"/>
        <v/>
      </c>
    </row>
    <row r="63" spans="1:34" ht="15.75" thickBot="1">
      <c r="A63" s="2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54" t="str">
        <f t="shared" si="8"/>
        <v/>
      </c>
      <c r="AB63" s="32" t="str">
        <f t="shared" si="9"/>
        <v/>
      </c>
      <c r="AC63" s="32" t="str">
        <f t="shared" si="6"/>
        <v/>
      </c>
      <c r="AD63" s="32" t="str">
        <f t="shared" si="2"/>
        <v/>
      </c>
      <c r="AE63" s="32" t="str">
        <f t="shared" si="10"/>
        <v/>
      </c>
      <c r="AF63" s="33" t="str">
        <f t="shared" si="11"/>
        <v/>
      </c>
      <c r="AG63" s="34" t="str">
        <f t="shared" si="12"/>
        <v/>
      </c>
      <c r="AH63" s="34" t="str">
        <f t="shared" si="13"/>
        <v/>
      </c>
    </row>
    <row r="64" spans="1:34" ht="15.75" thickBot="1">
      <c r="A64" s="2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54" t="str">
        <f t="shared" si="8"/>
        <v/>
      </c>
      <c r="AB64" s="32" t="str">
        <f t="shared" si="9"/>
        <v/>
      </c>
      <c r="AC64" s="32" t="str">
        <f t="shared" si="6"/>
        <v/>
      </c>
      <c r="AD64" s="32" t="str">
        <f t="shared" si="2"/>
        <v/>
      </c>
      <c r="AE64" s="32" t="str">
        <f t="shared" si="10"/>
        <v/>
      </c>
      <c r="AF64" s="33" t="str">
        <f t="shared" si="11"/>
        <v/>
      </c>
      <c r="AG64" s="34" t="str">
        <f t="shared" si="12"/>
        <v/>
      </c>
      <c r="AH64" s="34" t="str">
        <f t="shared" si="13"/>
        <v/>
      </c>
    </row>
    <row r="65" spans="1:34" ht="15.75" thickBot="1">
      <c r="A65" s="2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54" t="str">
        <f t="shared" si="8"/>
        <v/>
      </c>
      <c r="AB65" s="32" t="str">
        <f t="shared" si="9"/>
        <v/>
      </c>
      <c r="AC65" s="32" t="str">
        <f t="shared" si="6"/>
        <v/>
      </c>
      <c r="AD65" s="32" t="str">
        <f t="shared" si="2"/>
        <v/>
      </c>
      <c r="AE65" s="32" t="str">
        <f t="shared" si="10"/>
        <v/>
      </c>
      <c r="AF65" s="33" t="str">
        <f t="shared" si="11"/>
        <v/>
      </c>
      <c r="AG65" s="34" t="str">
        <f t="shared" si="12"/>
        <v/>
      </c>
      <c r="AH65" s="34" t="str">
        <f t="shared" si="13"/>
        <v/>
      </c>
    </row>
    <row r="66" spans="1:34" ht="15.75" thickBot="1">
      <c r="A66" s="2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54" t="str">
        <f t="shared" si="8"/>
        <v/>
      </c>
      <c r="AB66" s="32" t="str">
        <f t="shared" si="9"/>
        <v/>
      </c>
      <c r="AC66" s="32" t="str">
        <f t="shared" si="6"/>
        <v/>
      </c>
      <c r="AD66" s="32" t="str">
        <f t="shared" si="2"/>
        <v/>
      </c>
      <c r="AE66" s="32" t="str">
        <f t="shared" si="10"/>
        <v/>
      </c>
      <c r="AF66" s="33" t="str">
        <f t="shared" si="11"/>
        <v/>
      </c>
      <c r="AG66" s="34" t="str">
        <f t="shared" si="12"/>
        <v/>
      </c>
      <c r="AH66" s="34" t="str">
        <f t="shared" si="13"/>
        <v/>
      </c>
    </row>
    <row r="67" spans="1:34" ht="15.75" thickBot="1">
      <c r="A67" s="2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54" t="str">
        <f t="shared" si="8"/>
        <v/>
      </c>
      <c r="AB67" s="32" t="str">
        <f t="shared" si="9"/>
        <v/>
      </c>
      <c r="AC67" s="32" t="str">
        <f t="shared" si="6"/>
        <v/>
      </c>
      <c r="AD67" s="32" t="str">
        <f t="shared" si="2"/>
        <v/>
      </c>
      <c r="AE67" s="32" t="str">
        <f t="shared" si="10"/>
        <v/>
      </c>
      <c r="AF67" s="33" t="str">
        <f t="shared" si="11"/>
        <v/>
      </c>
      <c r="AG67" s="34" t="str">
        <f t="shared" si="12"/>
        <v/>
      </c>
      <c r="AH67" s="34" t="str">
        <f t="shared" si="13"/>
        <v/>
      </c>
    </row>
    <row r="68" spans="1:34" ht="15.75" thickBot="1">
      <c r="A68" s="2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54" t="str">
        <f t="shared" si="8"/>
        <v/>
      </c>
      <c r="AB68" s="32" t="str">
        <f t="shared" si="9"/>
        <v/>
      </c>
      <c r="AC68" s="32" t="str">
        <f t="shared" si="6"/>
        <v/>
      </c>
      <c r="AD68" s="32" t="str">
        <f t="shared" si="2"/>
        <v/>
      </c>
      <c r="AE68" s="32" t="str">
        <f t="shared" si="10"/>
        <v/>
      </c>
      <c r="AF68" s="33" t="str">
        <f t="shared" si="11"/>
        <v/>
      </c>
      <c r="AG68" s="34" t="str">
        <f t="shared" si="12"/>
        <v/>
      </c>
      <c r="AH68" s="34" t="str">
        <f t="shared" si="13"/>
        <v/>
      </c>
    </row>
    <row r="69" spans="1:34" ht="15.75" thickBot="1">
      <c r="A69" s="2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54" t="str">
        <f t="shared" si="8"/>
        <v/>
      </c>
      <c r="AB69" s="32" t="str">
        <f t="shared" si="9"/>
        <v/>
      </c>
      <c r="AC69" s="32" t="str">
        <f t="shared" si="6"/>
        <v/>
      </c>
      <c r="AD69" s="32" t="str">
        <f t="shared" si="2"/>
        <v/>
      </c>
      <c r="AE69" s="32" t="str">
        <f t="shared" si="10"/>
        <v/>
      </c>
      <c r="AF69" s="33" t="str">
        <f t="shared" si="11"/>
        <v/>
      </c>
      <c r="AG69" s="34" t="str">
        <f t="shared" si="12"/>
        <v/>
      </c>
      <c r="AH69" s="34" t="str">
        <f t="shared" si="13"/>
        <v/>
      </c>
    </row>
    <row r="70" spans="1:34" ht="15.75" thickBot="1">
      <c r="A70" s="2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54" t="str">
        <f t="shared" si="8"/>
        <v/>
      </c>
      <c r="AB70" s="32" t="str">
        <f t="shared" si="9"/>
        <v/>
      </c>
      <c r="AC70" s="32" t="str">
        <f t="shared" si="6"/>
        <v/>
      </c>
      <c r="AD70" s="32" t="str">
        <f t="shared" si="2"/>
        <v/>
      </c>
      <c r="AE70" s="32" t="str">
        <f t="shared" si="10"/>
        <v/>
      </c>
      <c r="AF70" s="33" t="str">
        <f t="shared" si="11"/>
        <v/>
      </c>
      <c r="AG70" s="34" t="str">
        <f t="shared" si="12"/>
        <v/>
      </c>
      <c r="AH70" s="34" t="str">
        <f t="shared" si="13"/>
        <v/>
      </c>
    </row>
    <row r="71" spans="1:34" ht="15.75" thickBot="1">
      <c r="A71" s="2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54" t="str">
        <f t="shared" si="8"/>
        <v/>
      </c>
      <c r="AB71" s="32" t="str">
        <f t="shared" si="9"/>
        <v/>
      </c>
      <c r="AC71" s="32" t="str">
        <f t="shared" si="6"/>
        <v/>
      </c>
      <c r="AD71" s="32" t="str">
        <f t="shared" si="2"/>
        <v/>
      </c>
      <c r="AE71" s="32" t="str">
        <f t="shared" si="10"/>
        <v/>
      </c>
      <c r="AF71" s="33" t="str">
        <f t="shared" si="11"/>
        <v/>
      </c>
      <c r="AG71" s="34" t="str">
        <f t="shared" si="12"/>
        <v/>
      </c>
      <c r="AH71" s="34" t="str">
        <f t="shared" si="13"/>
        <v/>
      </c>
    </row>
    <row r="72" spans="1:34" ht="15.75" thickBot="1">
      <c r="A72" s="2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54" t="str">
        <f t="shared" si="8"/>
        <v/>
      </c>
      <c r="AB72" s="32" t="str">
        <f t="shared" si="9"/>
        <v/>
      </c>
      <c r="AC72" s="32" t="str">
        <f t="shared" si="6"/>
        <v/>
      </c>
      <c r="AD72" s="32" t="str">
        <f t="shared" si="2"/>
        <v/>
      </c>
      <c r="AE72" s="32" t="str">
        <f t="shared" si="10"/>
        <v/>
      </c>
      <c r="AF72" s="33" t="str">
        <f t="shared" si="11"/>
        <v/>
      </c>
      <c r="AG72" s="34" t="str">
        <f t="shared" si="12"/>
        <v/>
      </c>
      <c r="AH72" s="34" t="str">
        <f t="shared" si="13"/>
        <v/>
      </c>
    </row>
    <row r="73" spans="1:34" ht="15.75" thickBot="1">
      <c r="A73" s="2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54" t="str">
        <f t="shared" ref="AA73:AA104" si="14">IF(SUM(B73:Z73)&gt;0,AVERAGE(B73:Z73),"")</f>
        <v/>
      </c>
      <c r="AB73" s="32" t="str">
        <f t="shared" ref="AB73:AB104" si="15">IF(SUM(B73:Z73)&gt;0,AVERAGE($AA$9:$AA$116),"")</f>
        <v/>
      </c>
      <c r="AC73" s="32" t="str">
        <f t="shared" si="6"/>
        <v/>
      </c>
      <c r="AD73" s="32" t="str">
        <f t="shared" si="2"/>
        <v/>
      </c>
      <c r="AE73" s="32" t="str">
        <f t="shared" ref="AE73:AE104" si="16">IF(SUM(B73:Z73)&gt;0,STDEV(B73:Z73),"")</f>
        <v/>
      </c>
      <c r="AF73" s="33" t="str">
        <f t="shared" ref="AF73:AF104" si="17">IF(SUM(B73:Z73)&gt;0,AVERAGE($AE$9:$AE$116),"")</f>
        <v/>
      </c>
      <c r="AG73" s="34" t="str">
        <f t="shared" ref="AG73:AG104" si="18">IF(SUM(B73:Z73)&gt;0,$AD$5*AF73,"")</f>
        <v/>
      </c>
      <c r="AH73" s="34" t="str">
        <f t="shared" ref="AH73:AH104" si="19">IF(SUM(B73:Z73)&gt;0,$AD$4*AF73,"")</f>
        <v/>
      </c>
    </row>
    <row r="74" spans="1:34" ht="15.75" thickBot="1">
      <c r="A74" s="2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54" t="str">
        <f t="shared" si="14"/>
        <v/>
      </c>
      <c r="AB74" s="32" t="str">
        <f t="shared" si="15"/>
        <v/>
      </c>
      <c r="AC74" s="32" t="str">
        <f t="shared" ref="AC74:AC116" si="20">IF(SUM(B74:Z74)&gt;0,AB74+$AD$3*AF74,"")</f>
        <v/>
      </c>
      <c r="AD74" s="32" t="str">
        <f t="shared" ref="AD74:AD116" si="21">IF(SUM(B74:Z74)&gt;0,AB74-($AD$3*AF74),"")</f>
        <v/>
      </c>
      <c r="AE74" s="32" t="str">
        <f t="shared" si="16"/>
        <v/>
      </c>
      <c r="AF74" s="33" t="str">
        <f t="shared" si="17"/>
        <v/>
      </c>
      <c r="AG74" s="34" t="str">
        <f t="shared" si="18"/>
        <v/>
      </c>
      <c r="AH74" s="34" t="str">
        <f t="shared" si="19"/>
        <v/>
      </c>
    </row>
    <row r="75" spans="1:34" ht="15.75" thickBot="1">
      <c r="A75" s="2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54" t="str">
        <f t="shared" si="14"/>
        <v/>
      </c>
      <c r="AB75" s="32" t="str">
        <f t="shared" si="15"/>
        <v/>
      </c>
      <c r="AC75" s="32" t="str">
        <f t="shared" si="20"/>
        <v/>
      </c>
      <c r="AD75" s="32" t="str">
        <f t="shared" si="21"/>
        <v/>
      </c>
      <c r="AE75" s="32" t="str">
        <f t="shared" si="16"/>
        <v/>
      </c>
      <c r="AF75" s="33" t="str">
        <f t="shared" si="17"/>
        <v/>
      </c>
      <c r="AG75" s="34" t="str">
        <f t="shared" si="18"/>
        <v/>
      </c>
      <c r="AH75" s="34" t="str">
        <f t="shared" si="19"/>
        <v/>
      </c>
    </row>
    <row r="76" spans="1:34" ht="15.75" thickBot="1">
      <c r="A76" s="2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54" t="str">
        <f t="shared" si="14"/>
        <v/>
      </c>
      <c r="AB76" s="32" t="str">
        <f t="shared" si="15"/>
        <v/>
      </c>
      <c r="AC76" s="32" t="str">
        <f t="shared" si="20"/>
        <v/>
      </c>
      <c r="AD76" s="32" t="str">
        <f t="shared" si="21"/>
        <v/>
      </c>
      <c r="AE76" s="32" t="str">
        <f t="shared" si="16"/>
        <v/>
      </c>
      <c r="AF76" s="33" t="str">
        <f t="shared" si="17"/>
        <v/>
      </c>
      <c r="AG76" s="34" t="str">
        <f t="shared" si="18"/>
        <v/>
      </c>
      <c r="AH76" s="34" t="str">
        <f t="shared" si="19"/>
        <v/>
      </c>
    </row>
    <row r="77" spans="1:34" ht="15.75" thickBot="1">
      <c r="A77" s="2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54" t="str">
        <f t="shared" si="14"/>
        <v/>
      </c>
      <c r="AB77" s="32" t="str">
        <f t="shared" si="15"/>
        <v/>
      </c>
      <c r="AC77" s="32" t="str">
        <f t="shared" si="20"/>
        <v/>
      </c>
      <c r="AD77" s="32" t="str">
        <f t="shared" si="21"/>
        <v/>
      </c>
      <c r="AE77" s="32" t="str">
        <f t="shared" si="16"/>
        <v/>
      </c>
      <c r="AF77" s="33" t="str">
        <f t="shared" si="17"/>
        <v/>
      </c>
      <c r="AG77" s="34" t="str">
        <f t="shared" si="18"/>
        <v/>
      </c>
      <c r="AH77" s="34" t="str">
        <f t="shared" si="19"/>
        <v/>
      </c>
    </row>
    <row r="78" spans="1:34" ht="15.75" thickBot="1">
      <c r="A78" s="2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54" t="str">
        <f t="shared" si="14"/>
        <v/>
      </c>
      <c r="AB78" s="32" t="str">
        <f t="shared" si="15"/>
        <v/>
      </c>
      <c r="AC78" s="32" t="str">
        <f t="shared" si="20"/>
        <v/>
      </c>
      <c r="AD78" s="32" t="str">
        <f t="shared" si="21"/>
        <v/>
      </c>
      <c r="AE78" s="32" t="str">
        <f t="shared" si="16"/>
        <v/>
      </c>
      <c r="AF78" s="33" t="str">
        <f t="shared" si="17"/>
        <v/>
      </c>
      <c r="AG78" s="34" t="str">
        <f t="shared" si="18"/>
        <v/>
      </c>
      <c r="AH78" s="34" t="str">
        <f t="shared" si="19"/>
        <v/>
      </c>
    </row>
    <row r="79" spans="1:34" ht="15.75" thickBot="1">
      <c r="A79" s="2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54" t="str">
        <f t="shared" si="14"/>
        <v/>
      </c>
      <c r="AB79" s="32" t="str">
        <f t="shared" si="15"/>
        <v/>
      </c>
      <c r="AC79" s="32" t="str">
        <f t="shared" si="20"/>
        <v/>
      </c>
      <c r="AD79" s="32" t="str">
        <f t="shared" si="21"/>
        <v/>
      </c>
      <c r="AE79" s="32" t="str">
        <f t="shared" si="16"/>
        <v/>
      </c>
      <c r="AF79" s="33" t="str">
        <f t="shared" si="17"/>
        <v/>
      </c>
      <c r="AG79" s="34" t="str">
        <f t="shared" si="18"/>
        <v/>
      </c>
      <c r="AH79" s="34" t="str">
        <f t="shared" si="19"/>
        <v/>
      </c>
    </row>
    <row r="80" spans="1:34" ht="15.75" thickBot="1">
      <c r="A80" s="2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54" t="str">
        <f t="shared" si="14"/>
        <v/>
      </c>
      <c r="AB80" s="32" t="str">
        <f t="shared" si="15"/>
        <v/>
      </c>
      <c r="AC80" s="32" t="str">
        <f t="shared" si="20"/>
        <v/>
      </c>
      <c r="AD80" s="32" t="str">
        <f t="shared" si="21"/>
        <v/>
      </c>
      <c r="AE80" s="32" t="str">
        <f t="shared" si="16"/>
        <v/>
      </c>
      <c r="AF80" s="33" t="str">
        <f t="shared" si="17"/>
        <v/>
      </c>
      <c r="AG80" s="34" t="str">
        <f t="shared" si="18"/>
        <v/>
      </c>
      <c r="AH80" s="34" t="str">
        <f t="shared" si="19"/>
        <v/>
      </c>
    </row>
    <row r="81" spans="1:34" ht="15.75" thickBot="1">
      <c r="A81" s="2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54" t="str">
        <f t="shared" si="14"/>
        <v/>
      </c>
      <c r="AB81" s="32" t="str">
        <f t="shared" si="15"/>
        <v/>
      </c>
      <c r="AC81" s="32" t="str">
        <f t="shared" si="20"/>
        <v/>
      </c>
      <c r="AD81" s="32" t="str">
        <f t="shared" si="21"/>
        <v/>
      </c>
      <c r="AE81" s="32" t="str">
        <f t="shared" si="16"/>
        <v/>
      </c>
      <c r="AF81" s="33" t="str">
        <f t="shared" si="17"/>
        <v/>
      </c>
      <c r="AG81" s="34" t="str">
        <f t="shared" si="18"/>
        <v/>
      </c>
      <c r="AH81" s="34" t="str">
        <f t="shared" si="19"/>
        <v/>
      </c>
    </row>
    <row r="82" spans="1:34" ht="15.75" thickBot="1">
      <c r="A82" s="2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54" t="str">
        <f t="shared" si="14"/>
        <v/>
      </c>
      <c r="AB82" s="32" t="str">
        <f t="shared" si="15"/>
        <v/>
      </c>
      <c r="AC82" s="32" t="str">
        <f t="shared" si="20"/>
        <v/>
      </c>
      <c r="AD82" s="32" t="str">
        <f t="shared" si="21"/>
        <v/>
      </c>
      <c r="AE82" s="32" t="str">
        <f t="shared" si="16"/>
        <v/>
      </c>
      <c r="AF82" s="33" t="str">
        <f t="shared" si="17"/>
        <v/>
      </c>
      <c r="AG82" s="34" t="str">
        <f t="shared" si="18"/>
        <v/>
      </c>
      <c r="AH82" s="34" t="str">
        <f t="shared" si="19"/>
        <v/>
      </c>
    </row>
    <row r="83" spans="1:34" ht="15.75" thickBot="1">
      <c r="A83" s="2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54" t="str">
        <f t="shared" si="14"/>
        <v/>
      </c>
      <c r="AB83" s="32" t="str">
        <f t="shared" si="15"/>
        <v/>
      </c>
      <c r="AC83" s="32" t="str">
        <f t="shared" si="20"/>
        <v/>
      </c>
      <c r="AD83" s="32" t="str">
        <f t="shared" si="21"/>
        <v/>
      </c>
      <c r="AE83" s="32" t="str">
        <f t="shared" si="16"/>
        <v/>
      </c>
      <c r="AF83" s="33" t="str">
        <f t="shared" si="17"/>
        <v/>
      </c>
      <c r="AG83" s="34" t="str">
        <f t="shared" si="18"/>
        <v/>
      </c>
      <c r="AH83" s="34" t="str">
        <f t="shared" si="19"/>
        <v/>
      </c>
    </row>
    <row r="84" spans="1:34" ht="15.75" thickBot="1">
      <c r="A84" s="2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54" t="str">
        <f t="shared" si="14"/>
        <v/>
      </c>
      <c r="AB84" s="32" t="str">
        <f t="shared" si="15"/>
        <v/>
      </c>
      <c r="AC84" s="32" t="str">
        <f t="shared" si="20"/>
        <v/>
      </c>
      <c r="AD84" s="32" t="str">
        <f t="shared" si="21"/>
        <v/>
      </c>
      <c r="AE84" s="32" t="str">
        <f t="shared" si="16"/>
        <v/>
      </c>
      <c r="AF84" s="33" t="str">
        <f t="shared" si="17"/>
        <v/>
      </c>
      <c r="AG84" s="34" t="str">
        <f t="shared" si="18"/>
        <v/>
      </c>
      <c r="AH84" s="34" t="str">
        <f t="shared" si="19"/>
        <v/>
      </c>
    </row>
    <row r="85" spans="1:34" ht="15.75" thickBot="1">
      <c r="A85" s="2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54" t="str">
        <f t="shared" si="14"/>
        <v/>
      </c>
      <c r="AB85" s="32" t="str">
        <f t="shared" si="15"/>
        <v/>
      </c>
      <c r="AC85" s="32" t="str">
        <f t="shared" si="20"/>
        <v/>
      </c>
      <c r="AD85" s="32" t="str">
        <f t="shared" si="21"/>
        <v/>
      </c>
      <c r="AE85" s="32" t="str">
        <f t="shared" si="16"/>
        <v/>
      </c>
      <c r="AF85" s="33" t="str">
        <f t="shared" si="17"/>
        <v/>
      </c>
      <c r="AG85" s="34" t="str">
        <f t="shared" si="18"/>
        <v/>
      </c>
      <c r="AH85" s="34" t="str">
        <f t="shared" si="19"/>
        <v/>
      </c>
    </row>
    <row r="86" spans="1:34" ht="15.75" thickBot="1">
      <c r="A86" s="2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54" t="str">
        <f t="shared" si="14"/>
        <v/>
      </c>
      <c r="AB86" s="32" t="str">
        <f t="shared" si="15"/>
        <v/>
      </c>
      <c r="AC86" s="32" t="str">
        <f t="shared" si="20"/>
        <v/>
      </c>
      <c r="AD86" s="32" t="str">
        <f t="shared" si="21"/>
        <v/>
      </c>
      <c r="AE86" s="32" t="str">
        <f t="shared" si="16"/>
        <v/>
      </c>
      <c r="AF86" s="33" t="str">
        <f t="shared" si="17"/>
        <v/>
      </c>
      <c r="AG86" s="34" t="str">
        <f t="shared" si="18"/>
        <v/>
      </c>
      <c r="AH86" s="34" t="str">
        <f t="shared" si="19"/>
        <v/>
      </c>
    </row>
    <row r="87" spans="1:34" ht="15.75" thickBot="1">
      <c r="A87" s="2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54" t="str">
        <f t="shared" si="14"/>
        <v/>
      </c>
      <c r="AB87" s="32" t="str">
        <f t="shared" si="15"/>
        <v/>
      </c>
      <c r="AC87" s="32" t="str">
        <f t="shared" si="20"/>
        <v/>
      </c>
      <c r="AD87" s="32" t="str">
        <f t="shared" si="21"/>
        <v/>
      </c>
      <c r="AE87" s="32" t="str">
        <f t="shared" si="16"/>
        <v/>
      </c>
      <c r="AF87" s="33" t="str">
        <f t="shared" si="17"/>
        <v/>
      </c>
      <c r="AG87" s="34" t="str">
        <f t="shared" si="18"/>
        <v/>
      </c>
      <c r="AH87" s="34" t="str">
        <f t="shared" si="19"/>
        <v/>
      </c>
    </row>
    <row r="88" spans="1:34" ht="15.75" thickBot="1">
      <c r="A88" s="2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54" t="str">
        <f t="shared" si="14"/>
        <v/>
      </c>
      <c r="AB88" s="32" t="str">
        <f t="shared" si="15"/>
        <v/>
      </c>
      <c r="AC88" s="32" t="str">
        <f t="shared" si="20"/>
        <v/>
      </c>
      <c r="AD88" s="32" t="str">
        <f t="shared" si="21"/>
        <v/>
      </c>
      <c r="AE88" s="32" t="str">
        <f t="shared" si="16"/>
        <v/>
      </c>
      <c r="AF88" s="33" t="str">
        <f t="shared" si="17"/>
        <v/>
      </c>
      <c r="AG88" s="34" t="str">
        <f t="shared" si="18"/>
        <v/>
      </c>
      <c r="AH88" s="34" t="str">
        <f t="shared" si="19"/>
        <v/>
      </c>
    </row>
    <row r="89" spans="1:34" ht="15.75" thickBot="1">
      <c r="A89" s="2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54" t="str">
        <f t="shared" si="14"/>
        <v/>
      </c>
      <c r="AB89" s="32" t="str">
        <f t="shared" si="15"/>
        <v/>
      </c>
      <c r="AC89" s="32" t="str">
        <f t="shared" si="20"/>
        <v/>
      </c>
      <c r="AD89" s="32" t="str">
        <f t="shared" si="21"/>
        <v/>
      </c>
      <c r="AE89" s="32" t="str">
        <f t="shared" si="16"/>
        <v/>
      </c>
      <c r="AF89" s="33" t="str">
        <f t="shared" si="17"/>
        <v/>
      </c>
      <c r="AG89" s="34" t="str">
        <f t="shared" si="18"/>
        <v/>
      </c>
      <c r="AH89" s="34" t="str">
        <f t="shared" si="19"/>
        <v/>
      </c>
    </row>
    <row r="90" spans="1:34" ht="15.75" thickBot="1">
      <c r="A90" s="2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54" t="str">
        <f t="shared" si="14"/>
        <v/>
      </c>
      <c r="AB90" s="32" t="str">
        <f t="shared" si="15"/>
        <v/>
      </c>
      <c r="AC90" s="32" t="str">
        <f t="shared" si="20"/>
        <v/>
      </c>
      <c r="AD90" s="32" t="str">
        <f t="shared" si="21"/>
        <v/>
      </c>
      <c r="AE90" s="32" t="str">
        <f t="shared" si="16"/>
        <v/>
      </c>
      <c r="AF90" s="33" t="str">
        <f t="shared" si="17"/>
        <v/>
      </c>
      <c r="AG90" s="34" t="str">
        <f t="shared" si="18"/>
        <v/>
      </c>
      <c r="AH90" s="34" t="str">
        <f t="shared" si="19"/>
        <v/>
      </c>
    </row>
    <row r="91" spans="1:34" ht="15.75" thickBot="1">
      <c r="A91" s="2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54" t="str">
        <f t="shared" si="14"/>
        <v/>
      </c>
      <c r="AB91" s="32" t="str">
        <f t="shared" si="15"/>
        <v/>
      </c>
      <c r="AC91" s="32" t="str">
        <f t="shared" si="20"/>
        <v/>
      </c>
      <c r="AD91" s="32" t="str">
        <f t="shared" si="21"/>
        <v/>
      </c>
      <c r="AE91" s="32" t="str">
        <f t="shared" si="16"/>
        <v/>
      </c>
      <c r="AF91" s="33" t="str">
        <f t="shared" si="17"/>
        <v/>
      </c>
      <c r="AG91" s="34" t="str">
        <f t="shared" si="18"/>
        <v/>
      </c>
      <c r="AH91" s="34" t="str">
        <f t="shared" si="19"/>
        <v/>
      </c>
    </row>
    <row r="92" spans="1:34" ht="15.75" thickBot="1">
      <c r="A92" s="2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54" t="str">
        <f t="shared" si="14"/>
        <v/>
      </c>
      <c r="AB92" s="32" t="str">
        <f t="shared" si="15"/>
        <v/>
      </c>
      <c r="AC92" s="32" t="str">
        <f t="shared" si="20"/>
        <v/>
      </c>
      <c r="AD92" s="32" t="str">
        <f t="shared" si="21"/>
        <v/>
      </c>
      <c r="AE92" s="32" t="str">
        <f t="shared" si="16"/>
        <v/>
      </c>
      <c r="AF92" s="33" t="str">
        <f t="shared" si="17"/>
        <v/>
      </c>
      <c r="AG92" s="34" t="str">
        <f t="shared" si="18"/>
        <v/>
      </c>
      <c r="AH92" s="34" t="str">
        <f t="shared" si="19"/>
        <v/>
      </c>
    </row>
    <row r="93" spans="1:34" ht="15.75" thickBot="1">
      <c r="A93" s="2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54" t="str">
        <f t="shared" si="14"/>
        <v/>
      </c>
      <c r="AB93" s="32" t="str">
        <f t="shared" si="15"/>
        <v/>
      </c>
      <c r="AC93" s="32" t="str">
        <f t="shared" si="20"/>
        <v/>
      </c>
      <c r="AD93" s="32" t="str">
        <f t="shared" si="21"/>
        <v/>
      </c>
      <c r="AE93" s="32" t="str">
        <f t="shared" si="16"/>
        <v/>
      </c>
      <c r="AF93" s="33" t="str">
        <f t="shared" si="17"/>
        <v/>
      </c>
      <c r="AG93" s="34" t="str">
        <f t="shared" si="18"/>
        <v/>
      </c>
      <c r="AH93" s="34" t="str">
        <f t="shared" si="19"/>
        <v/>
      </c>
    </row>
    <row r="94" spans="1:34" ht="15.75" thickBot="1">
      <c r="A94" s="2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54" t="str">
        <f t="shared" si="14"/>
        <v/>
      </c>
      <c r="AB94" s="32" t="str">
        <f t="shared" si="15"/>
        <v/>
      </c>
      <c r="AC94" s="32" t="str">
        <f t="shared" si="20"/>
        <v/>
      </c>
      <c r="AD94" s="32" t="str">
        <f t="shared" si="21"/>
        <v/>
      </c>
      <c r="AE94" s="32" t="str">
        <f t="shared" si="16"/>
        <v/>
      </c>
      <c r="AF94" s="33" t="str">
        <f t="shared" si="17"/>
        <v/>
      </c>
      <c r="AG94" s="34" t="str">
        <f t="shared" si="18"/>
        <v/>
      </c>
      <c r="AH94" s="34" t="str">
        <f t="shared" si="19"/>
        <v/>
      </c>
    </row>
    <row r="95" spans="1:34" ht="15.75" thickBot="1">
      <c r="A95" s="2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54" t="str">
        <f t="shared" si="14"/>
        <v/>
      </c>
      <c r="AB95" s="32" t="str">
        <f t="shared" si="15"/>
        <v/>
      </c>
      <c r="AC95" s="32" t="str">
        <f t="shared" si="20"/>
        <v/>
      </c>
      <c r="AD95" s="32" t="str">
        <f t="shared" si="21"/>
        <v/>
      </c>
      <c r="AE95" s="32" t="str">
        <f t="shared" si="16"/>
        <v/>
      </c>
      <c r="AF95" s="33" t="str">
        <f t="shared" si="17"/>
        <v/>
      </c>
      <c r="AG95" s="34" t="str">
        <f t="shared" si="18"/>
        <v/>
      </c>
      <c r="AH95" s="34" t="str">
        <f t="shared" si="19"/>
        <v/>
      </c>
    </row>
    <row r="96" spans="1:34" ht="15.75" thickBot="1">
      <c r="A96" s="2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54" t="str">
        <f t="shared" si="14"/>
        <v/>
      </c>
      <c r="AB96" s="32" t="str">
        <f t="shared" si="15"/>
        <v/>
      </c>
      <c r="AC96" s="32" t="str">
        <f t="shared" si="20"/>
        <v/>
      </c>
      <c r="AD96" s="32" t="str">
        <f t="shared" si="21"/>
        <v/>
      </c>
      <c r="AE96" s="32" t="str">
        <f t="shared" si="16"/>
        <v/>
      </c>
      <c r="AF96" s="33" t="str">
        <f t="shared" si="17"/>
        <v/>
      </c>
      <c r="AG96" s="34" t="str">
        <f t="shared" si="18"/>
        <v/>
      </c>
      <c r="AH96" s="34" t="str">
        <f t="shared" si="19"/>
        <v/>
      </c>
    </row>
    <row r="97" spans="1:34" ht="15.75" thickBot="1">
      <c r="A97" s="2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54" t="str">
        <f t="shared" si="14"/>
        <v/>
      </c>
      <c r="AB97" s="32" t="str">
        <f t="shared" si="15"/>
        <v/>
      </c>
      <c r="AC97" s="32" t="str">
        <f t="shared" si="20"/>
        <v/>
      </c>
      <c r="AD97" s="32" t="str">
        <f t="shared" si="21"/>
        <v/>
      </c>
      <c r="AE97" s="32" t="str">
        <f t="shared" si="16"/>
        <v/>
      </c>
      <c r="AF97" s="33" t="str">
        <f t="shared" si="17"/>
        <v/>
      </c>
      <c r="AG97" s="34" t="str">
        <f t="shared" si="18"/>
        <v/>
      </c>
      <c r="AH97" s="34" t="str">
        <f t="shared" si="19"/>
        <v/>
      </c>
    </row>
    <row r="98" spans="1:34" ht="15.75" thickBot="1">
      <c r="A98" s="2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54" t="str">
        <f t="shared" si="14"/>
        <v/>
      </c>
      <c r="AB98" s="32" t="str">
        <f t="shared" si="15"/>
        <v/>
      </c>
      <c r="AC98" s="32" t="str">
        <f t="shared" si="20"/>
        <v/>
      </c>
      <c r="AD98" s="32" t="str">
        <f t="shared" si="21"/>
        <v/>
      </c>
      <c r="AE98" s="32" t="str">
        <f t="shared" si="16"/>
        <v/>
      </c>
      <c r="AF98" s="33" t="str">
        <f t="shared" si="17"/>
        <v/>
      </c>
      <c r="AG98" s="34" t="str">
        <f t="shared" si="18"/>
        <v/>
      </c>
      <c r="AH98" s="34" t="str">
        <f t="shared" si="19"/>
        <v/>
      </c>
    </row>
    <row r="99" spans="1:34" ht="15.75" thickBot="1">
      <c r="A99" s="2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54" t="str">
        <f t="shared" si="14"/>
        <v/>
      </c>
      <c r="AB99" s="32" t="str">
        <f t="shared" si="15"/>
        <v/>
      </c>
      <c r="AC99" s="32" t="str">
        <f t="shared" si="20"/>
        <v/>
      </c>
      <c r="AD99" s="32" t="str">
        <f t="shared" si="21"/>
        <v/>
      </c>
      <c r="AE99" s="32" t="str">
        <f t="shared" si="16"/>
        <v/>
      </c>
      <c r="AF99" s="33" t="str">
        <f t="shared" si="17"/>
        <v/>
      </c>
      <c r="AG99" s="34" t="str">
        <f t="shared" si="18"/>
        <v/>
      </c>
      <c r="AH99" s="34" t="str">
        <f t="shared" si="19"/>
        <v/>
      </c>
    </row>
    <row r="100" spans="1:34" ht="15.75" thickBot="1">
      <c r="A100" s="2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54" t="str">
        <f t="shared" si="14"/>
        <v/>
      </c>
      <c r="AB100" s="32" t="str">
        <f t="shared" si="15"/>
        <v/>
      </c>
      <c r="AC100" s="32" t="str">
        <f t="shared" si="20"/>
        <v/>
      </c>
      <c r="AD100" s="32" t="str">
        <f t="shared" si="21"/>
        <v/>
      </c>
      <c r="AE100" s="32" t="str">
        <f t="shared" si="16"/>
        <v/>
      </c>
      <c r="AF100" s="33" t="str">
        <f t="shared" si="17"/>
        <v/>
      </c>
      <c r="AG100" s="34" t="str">
        <f t="shared" si="18"/>
        <v/>
      </c>
      <c r="AH100" s="34" t="str">
        <f t="shared" si="19"/>
        <v/>
      </c>
    </row>
    <row r="101" spans="1:34" ht="15.75" thickBot="1">
      <c r="A101" s="2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54" t="str">
        <f t="shared" si="14"/>
        <v/>
      </c>
      <c r="AB101" s="32" t="str">
        <f t="shared" si="15"/>
        <v/>
      </c>
      <c r="AC101" s="32" t="str">
        <f t="shared" si="20"/>
        <v/>
      </c>
      <c r="AD101" s="32" t="str">
        <f t="shared" si="21"/>
        <v/>
      </c>
      <c r="AE101" s="32" t="str">
        <f t="shared" si="16"/>
        <v/>
      </c>
      <c r="AF101" s="33" t="str">
        <f t="shared" si="17"/>
        <v/>
      </c>
      <c r="AG101" s="34" t="str">
        <f t="shared" si="18"/>
        <v/>
      </c>
      <c r="AH101" s="34" t="str">
        <f t="shared" si="19"/>
        <v/>
      </c>
    </row>
    <row r="102" spans="1:34" ht="15.75" thickBot="1">
      <c r="A102" s="2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54" t="str">
        <f t="shared" si="14"/>
        <v/>
      </c>
      <c r="AB102" s="32" t="str">
        <f t="shared" si="15"/>
        <v/>
      </c>
      <c r="AC102" s="32" t="str">
        <f t="shared" si="20"/>
        <v/>
      </c>
      <c r="AD102" s="32" t="str">
        <f t="shared" si="21"/>
        <v/>
      </c>
      <c r="AE102" s="32" t="str">
        <f t="shared" si="16"/>
        <v/>
      </c>
      <c r="AF102" s="33" t="str">
        <f t="shared" si="17"/>
        <v/>
      </c>
      <c r="AG102" s="34" t="str">
        <f t="shared" si="18"/>
        <v/>
      </c>
      <c r="AH102" s="34" t="str">
        <f t="shared" si="19"/>
        <v/>
      </c>
    </row>
    <row r="103" spans="1:34" ht="15.75" thickBot="1">
      <c r="A103" s="2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54" t="str">
        <f t="shared" si="14"/>
        <v/>
      </c>
      <c r="AB103" s="32" t="str">
        <f t="shared" si="15"/>
        <v/>
      </c>
      <c r="AC103" s="32" t="str">
        <f t="shared" si="20"/>
        <v/>
      </c>
      <c r="AD103" s="32" t="str">
        <f t="shared" si="21"/>
        <v/>
      </c>
      <c r="AE103" s="32" t="str">
        <f t="shared" si="16"/>
        <v/>
      </c>
      <c r="AF103" s="33" t="str">
        <f t="shared" si="17"/>
        <v/>
      </c>
      <c r="AG103" s="34" t="str">
        <f t="shared" si="18"/>
        <v/>
      </c>
      <c r="AH103" s="34" t="str">
        <f t="shared" si="19"/>
        <v/>
      </c>
    </row>
    <row r="104" spans="1:34" ht="15.75" thickBot="1">
      <c r="A104" s="2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54" t="str">
        <f t="shared" si="14"/>
        <v/>
      </c>
      <c r="AB104" s="32" t="str">
        <f t="shared" si="15"/>
        <v/>
      </c>
      <c r="AC104" s="32" t="str">
        <f t="shared" si="20"/>
        <v/>
      </c>
      <c r="AD104" s="32" t="str">
        <f t="shared" si="21"/>
        <v/>
      </c>
      <c r="AE104" s="32" t="str">
        <f t="shared" si="16"/>
        <v/>
      </c>
      <c r="AF104" s="33" t="str">
        <f t="shared" si="17"/>
        <v/>
      </c>
      <c r="AG104" s="34" t="str">
        <f t="shared" si="18"/>
        <v/>
      </c>
      <c r="AH104" s="34" t="str">
        <f t="shared" si="19"/>
        <v/>
      </c>
    </row>
    <row r="105" spans="1:34" ht="15.75" thickBot="1">
      <c r="A105" s="2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54" t="str">
        <f t="shared" ref="AA105:AA116" si="22">IF(SUM(B105:Z105)&gt;0,AVERAGE(B105:Z105),"")</f>
        <v/>
      </c>
      <c r="AB105" s="32" t="str">
        <f t="shared" ref="AB105:AB116" si="23">IF(SUM(B105:Z105)&gt;0,AVERAGE($AA$9:$AA$116),"")</f>
        <v/>
      </c>
      <c r="AC105" s="32" t="str">
        <f t="shared" si="20"/>
        <v/>
      </c>
      <c r="AD105" s="32" t="str">
        <f t="shared" si="21"/>
        <v/>
      </c>
      <c r="AE105" s="32" t="str">
        <f t="shared" ref="AE105:AE116" si="24">IF(SUM(B105:Z105)&gt;0,STDEV(B105:Z105),"")</f>
        <v/>
      </c>
      <c r="AF105" s="33" t="str">
        <f t="shared" ref="AF105:AF116" si="25">IF(SUM(B105:Z105)&gt;0,AVERAGE($AE$9:$AE$116),"")</f>
        <v/>
      </c>
      <c r="AG105" s="34" t="str">
        <f t="shared" ref="AG105:AG116" si="26">IF(SUM(B105:Z105)&gt;0,$AD$5*AF105,"")</f>
        <v/>
      </c>
      <c r="AH105" s="34" t="str">
        <f t="shared" ref="AH105:AH116" si="27">IF(SUM(B105:Z105)&gt;0,$AD$4*AF105,"")</f>
        <v/>
      </c>
    </row>
    <row r="106" spans="1:34" ht="15.75" thickBot="1">
      <c r="A106" s="2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54" t="str">
        <f t="shared" si="22"/>
        <v/>
      </c>
      <c r="AB106" s="32" t="str">
        <f t="shared" si="23"/>
        <v/>
      </c>
      <c r="AC106" s="32" t="str">
        <f t="shared" si="20"/>
        <v/>
      </c>
      <c r="AD106" s="32" t="str">
        <f t="shared" si="21"/>
        <v/>
      </c>
      <c r="AE106" s="32" t="str">
        <f t="shared" si="24"/>
        <v/>
      </c>
      <c r="AF106" s="33" t="str">
        <f t="shared" si="25"/>
        <v/>
      </c>
      <c r="AG106" s="34" t="str">
        <f t="shared" si="26"/>
        <v/>
      </c>
      <c r="AH106" s="34" t="str">
        <f t="shared" si="27"/>
        <v/>
      </c>
    </row>
    <row r="107" spans="1:34" ht="15.75" thickBot="1">
      <c r="A107" s="2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54" t="str">
        <f t="shared" si="22"/>
        <v/>
      </c>
      <c r="AB107" s="32" t="str">
        <f t="shared" si="23"/>
        <v/>
      </c>
      <c r="AC107" s="32" t="str">
        <f t="shared" si="20"/>
        <v/>
      </c>
      <c r="AD107" s="32" t="str">
        <f t="shared" si="21"/>
        <v/>
      </c>
      <c r="AE107" s="32" t="str">
        <f t="shared" si="24"/>
        <v/>
      </c>
      <c r="AF107" s="33" t="str">
        <f t="shared" si="25"/>
        <v/>
      </c>
      <c r="AG107" s="34" t="str">
        <f t="shared" si="26"/>
        <v/>
      </c>
      <c r="AH107" s="34" t="str">
        <f t="shared" si="27"/>
        <v/>
      </c>
    </row>
    <row r="108" spans="1:34" ht="15.75" thickBot="1">
      <c r="A108" s="2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54" t="str">
        <f t="shared" si="22"/>
        <v/>
      </c>
      <c r="AB108" s="32" t="str">
        <f t="shared" si="23"/>
        <v/>
      </c>
      <c r="AC108" s="32" t="str">
        <f t="shared" si="20"/>
        <v/>
      </c>
      <c r="AD108" s="32" t="str">
        <f t="shared" si="21"/>
        <v/>
      </c>
      <c r="AE108" s="32" t="str">
        <f t="shared" si="24"/>
        <v/>
      </c>
      <c r="AF108" s="33" t="str">
        <f t="shared" si="25"/>
        <v/>
      </c>
      <c r="AG108" s="34" t="str">
        <f t="shared" si="26"/>
        <v/>
      </c>
      <c r="AH108" s="34" t="str">
        <f t="shared" si="27"/>
        <v/>
      </c>
    </row>
    <row r="109" spans="1:34" ht="15.75" thickBot="1">
      <c r="A109" s="2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54" t="str">
        <f t="shared" si="22"/>
        <v/>
      </c>
      <c r="AB109" s="32" t="str">
        <f t="shared" si="23"/>
        <v/>
      </c>
      <c r="AC109" s="32" t="str">
        <f t="shared" si="20"/>
        <v/>
      </c>
      <c r="AD109" s="32" t="str">
        <f t="shared" si="21"/>
        <v/>
      </c>
      <c r="AE109" s="32" t="str">
        <f t="shared" si="24"/>
        <v/>
      </c>
      <c r="AF109" s="33" t="str">
        <f t="shared" si="25"/>
        <v/>
      </c>
      <c r="AG109" s="34" t="str">
        <f t="shared" si="26"/>
        <v/>
      </c>
      <c r="AH109" s="34" t="str">
        <f t="shared" si="27"/>
        <v/>
      </c>
    </row>
    <row r="110" spans="1:34" ht="15.75" thickBot="1">
      <c r="A110" s="2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54" t="str">
        <f t="shared" si="22"/>
        <v/>
      </c>
      <c r="AB110" s="32" t="str">
        <f t="shared" si="23"/>
        <v/>
      </c>
      <c r="AC110" s="32" t="str">
        <f t="shared" si="20"/>
        <v/>
      </c>
      <c r="AD110" s="32" t="str">
        <f t="shared" si="21"/>
        <v/>
      </c>
      <c r="AE110" s="32" t="str">
        <f t="shared" si="24"/>
        <v/>
      </c>
      <c r="AF110" s="33" t="str">
        <f t="shared" si="25"/>
        <v/>
      </c>
      <c r="AG110" s="34" t="str">
        <f t="shared" si="26"/>
        <v/>
      </c>
      <c r="AH110" s="34" t="str">
        <f t="shared" si="27"/>
        <v/>
      </c>
    </row>
    <row r="111" spans="1:34" ht="15.75" thickBot="1">
      <c r="A111" s="2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54" t="str">
        <f t="shared" si="22"/>
        <v/>
      </c>
      <c r="AB111" s="32" t="str">
        <f t="shared" si="23"/>
        <v/>
      </c>
      <c r="AC111" s="32" t="str">
        <f t="shared" si="20"/>
        <v/>
      </c>
      <c r="AD111" s="32" t="str">
        <f t="shared" si="21"/>
        <v/>
      </c>
      <c r="AE111" s="32" t="str">
        <f t="shared" si="24"/>
        <v/>
      </c>
      <c r="AF111" s="33" t="str">
        <f t="shared" si="25"/>
        <v/>
      </c>
      <c r="AG111" s="34" t="str">
        <f t="shared" si="26"/>
        <v/>
      </c>
      <c r="AH111" s="34" t="str">
        <f t="shared" si="27"/>
        <v/>
      </c>
    </row>
    <row r="112" spans="1:34" ht="15.75" thickBot="1">
      <c r="A112" s="2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54" t="str">
        <f t="shared" si="22"/>
        <v/>
      </c>
      <c r="AB112" s="32" t="str">
        <f t="shared" si="23"/>
        <v/>
      </c>
      <c r="AC112" s="32" t="str">
        <f t="shared" si="20"/>
        <v/>
      </c>
      <c r="AD112" s="32" t="str">
        <f t="shared" si="21"/>
        <v/>
      </c>
      <c r="AE112" s="32" t="str">
        <f t="shared" si="24"/>
        <v/>
      </c>
      <c r="AF112" s="33" t="str">
        <f t="shared" si="25"/>
        <v/>
      </c>
      <c r="AG112" s="34" t="str">
        <f t="shared" si="26"/>
        <v/>
      </c>
      <c r="AH112" s="34" t="str">
        <f t="shared" si="27"/>
        <v/>
      </c>
    </row>
    <row r="113" spans="1:34" ht="15.75" thickBot="1">
      <c r="A113" s="2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54" t="str">
        <f t="shared" si="22"/>
        <v/>
      </c>
      <c r="AB113" s="32" t="str">
        <f t="shared" si="23"/>
        <v/>
      </c>
      <c r="AC113" s="32" t="str">
        <f t="shared" si="20"/>
        <v/>
      </c>
      <c r="AD113" s="32" t="str">
        <f t="shared" si="21"/>
        <v/>
      </c>
      <c r="AE113" s="32" t="str">
        <f t="shared" si="24"/>
        <v/>
      </c>
      <c r="AF113" s="33" t="str">
        <f t="shared" si="25"/>
        <v/>
      </c>
      <c r="AG113" s="34" t="str">
        <f t="shared" si="26"/>
        <v/>
      </c>
      <c r="AH113" s="34" t="str">
        <f t="shared" si="27"/>
        <v/>
      </c>
    </row>
    <row r="114" spans="1:34" ht="15.75" thickBot="1">
      <c r="A114" s="2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54" t="str">
        <f t="shared" si="22"/>
        <v/>
      </c>
      <c r="AB114" s="32" t="str">
        <f t="shared" si="23"/>
        <v/>
      </c>
      <c r="AC114" s="32" t="str">
        <f t="shared" si="20"/>
        <v/>
      </c>
      <c r="AD114" s="32" t="str">
        <f t="shared" si="21"/>
        <v/>
      </c>
      <c r="AE114" s="32" t="str">
        <f t="shared" si="24"/>
        <v/>
      </c>
      <c r="AF114" s="33" t="str">
        <f t="shared" si="25"/>
        <v/>
      </c>
      <c r="AG114" s="34" t="str">
        <f t="shared" si="26"/>
        <v/>
      </c>
      <c r="AH114" s="34" t="str">
        <f t="shared" si="27"/>
        <v/>
      </c>
    </row>
    <row r="115" spans="1:34" ht="15.75" thickBot="1">
      <c r="A115" s="2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54" t="str">
        <f t="shared" si="22"/>
        <v/>
      </c>
      <c r="AB115" s="32" t="str">
        <f t="shared" si="23"/>
        <v/>
      </c>
      <c r="AC115" s="32" t="str">
        <f t="shared" si="20"/>
        <v/>
      </c>
      <c r="AD115" s="32" t="str">
        <f t="shared" si="21"/>
        <v/>
      </c>
      <c r="AE115" s="32" t="str">
        <f t="shared" si="24"/>
        <v/>
      </c>
      <c r="AF115" s="33" t="str">
        <f t="shared" si="25"/>
        <v/>
      </c>
      <c r="AG115" s="34" t="str">
        <f t="shared" si="26"/>
        <v/>
      </c>
      <c r="AH115" s="34" t="str">
        <f t="shared" si="27"/>
        <v/>
      </c>
    </row>
    <row r="116" spans="1:34" ht="15.75" thickBot="1">
      <c r="A116" s="2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54" t="str">
        <f t="shared" si="22"/>
        <v/>
      </c>
      <c r="AB116" s="32" t="str">
        <f t="shared" si="23"/>
        <v/>
      </c>
      <c r="AC116" s="32" t="str">
        <f t="shared" si="20"/>
        <v/>
      </c>
      <c r="AD116" s="32" t="str">
        <f t="shared" si="21"/>
        <v/>
      </c>
      <c r="AE116" s="32" t="str">
        <f t="shared" si="24"/>
        <v/>
      </c>
      <c r="AF116" s="33" t="str">
        <f t="shared" si="25"/>
        <v/>
      </c>
      <c r="AG116" s="34" t="str">
        <f t="shared" si="26"/>
        <v/>
      </c>
      <c r="AH116" s="34" t="str">
        <f t="shared" si="27"/>
        <v/>
      </c>
    </row>
  </sheetData>
  <mergeCells count="12">
    <mergeCell ref="AO8:AP8"/>
    <mergeCell ref="AN3:AU3"/>
    <mergeCell ref="AK6:AQ6"/>
    <mergeCell ref="AR6:AX6"/>
    <mergeCell ref="AS8:AT8"/>
    <mergeCell ref="AV8:AW8"/>
    <mergeCell ref="B7:Z7"/>
    <mergeCell ref="AA7:AD7"/>
    <mergeCell ref="AL8:AM8"/>
    <mergeCell ref="AB1:AC1"/>
    <mergeCell ref="AB2:AC2"/>
    <mergeCell ref="AE7:AH7"/>
  </mergeCells>
  <conditionalFormatting sqref="AA9:AA116">
    <cfRule type="expression" dxfId="21" priority="1">
      <formula>AA9&lt;AD9</formula>
    </cfRule>
    <cfRule type="expression" dxfId="20" priority="2">
      <formula>AA9&gt;AC9</formula>
    </cfRule>
  </conditionalFormatting>
  <conditionalFormatting sqref="BE5:BE10">
    <cfRule type="expression" dxfId="19" priority="3">
      <formula>"$BE&gt;$BF$5"</formula>
    </cfRule>
  </conditionalFormatting>
  <hyperlinks>
    <hyperlink ref="B2" location="INICIO!A1" display="INICIO" xr:uid="{00000000-0004-0000-0300-000000000000}"/>
    <hyperlink ref="B3" location="'GRÁFICO X-R'!A1" display="ATRÁS" xr:uid="{00000000-0004-0000-0300-000001000000}"/>
    <hyperlink ref="B4" location="'GRÁFICO X-S (n cambiante)'!A1" display="SIGUIENTE" xr:uid="{00000000-0004-0000-0300-000002000000}"/>
    <hyperlink ref="B5" location="RESULTADOSXR" display="RESULTADOS" xr:uid="{00000000-0004-0000-0300-000003000000}"/>
    <hyperlink ref="AZ2" location="INICIO!A1" display="INICIO" xr:uid="{00000000-0004-0000-0300-000004000000}"/>
    <hyperlink ref="AZ3" location="'GRÁFICO X-R'!A1" display="ATRÁS" xr:uid="{00000000-0004-0000-0300-000005000000}"/>
    <hyperlink ref="AZ4" location="'GRÁFICO X-S (n cambiante)'!A1" display="SIGUIENTE" xr:uid="{00000000-0004-0000-0300-000006000000}"/>
  </hyperlinks>
  <pageMargins left="0.7" right="0.7" top="0.75" bottom="0.75" header="0.3" footer="0.3"/>
  <pageSetup paperSize="9" orientation="portrait" horizontalDpi="0" verticalDpi="0" r:id="rId1"/>
  <ignoredErrors>
    <ignoredError sqref="AA9:AB9 AA10:AA11 AA13 AA12 AA14:AA46 AB10:AB46 AF9:AH9 AD10:AD116 AC11:AC116 AE31 AE32:AE116 AH10:AH116 AG10:AG116 AF10:AF116 AE11 AE12:AE30 AE10 AC9:AE9 AC10 AA48:AA115 AB48:AB116" formulaRange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5" tint="0.59999389629810485"/>
  </sheetPr>
  <dimension ref="A1:BD116"/>
  <sheetViews>
    <sheetView zoomScale="130" zoomScaleNormal="130" workbookViewId="0">
      <selection activeCell="B2" sqref="B2"/>
    </sheetView>
  </sheetViews>
  <sheetFormatPr baseColWidth="10" defaultRowHeight="15"/>
  <cols>
    <col min="1" max="1" width="11.42578125" style="71" customWidth="1"/>
    <col min="2" max="2" width="16" style="71" customWidth="1"/>
    <col min="3" max="5" width="11.42578125" style="71"/>
    <col min="6" max="6" width="11.42578125" style="71" customWidth="1"/>
    <col min="7" max="9" width="11.42578125" style="71" hidden="1" customWidth="1"/>
    <col min="10" max="20" width="16" style="71" hidden="1" customWidth="1"/>
    <col min="21" max="26" width="11.42578125" style="71" hidden="1" customWidth="1"/>
    <col min="27" max="27" width="11.42578125" style="71"/>
    <col min="28" max="28" width="14.140625" style="71" customWidth="1"/>
    <col min="29" max="39" width="11.42578125" style="71"/>
    <col min="40" max="40" width="17.28515625" style="71" customWidth="1"/>
    <col min="41" max="42" width="11.42578125" style="71"/>
    <col min="43" max="43" width="17.7109375" style="71" customWidth="1"/>
    <col min="44" max="44" width="11.42578125" style="71" customWidth="1"/>
    <col min="45" max="45" width="14.5703125" style="71" customWidth="1"/>
    <col min="46" max="46" width="13.7109375" style="71" customWidth="1"/>
    <col min="47" max="48" width="11.42578125" style="71" customWidth="1"/>
    <col min="49" max="49" width="11.42578125" style="71"/>
    <col min="50" max="50" width="15" style="71" customWidth="1"/>
    <col min="51" max="52" width="11.42578125" style="71"/>
    <col min="53" max="53" width="16.5703125" style="71" customWidth="1"/>
    <col min="54" max="54" width="17.85546875" style="71" customWidth="1"/>
    <col min="55" max="55" width="11.42578125" style="71"/>
    <col min="56" max="56" width="15.5703125" style="71" customWidth="1"/>
    <col min="57" max="1999" width="11.42578125" style="71"/>
    <col min="2000" max="2000" width="2.7109375" style="71" customWidth="1"/>
    <col min="2001" max="2002" width="11.42578125" style="71"/>
    <col min="2003" max="2004" width="2.7109375" style="71" customWidth="1"/>
    <col min="2005" max="2006" width="11.42578125" style="71"/>
    <col min="2007" max="2007" width="2.7109375" style="71" customWidth="1"/>
    <col min="2008" max="16384" width="11.42578125" style="71"/>
  </cols>
  <sheetData>
    <row r="1" spans="1:56" ht="15.75" thickBot="1">
      <c r="AO1" s="57"/>
      <c r="AP1" s="57"/>
      <c r="AQ1" s="57"/>
      <c r="AR1" s="57"/>
      <c r="AS1" s="70"/>
      <c r="AT1" s="70"/>
      <c r="AU1" s="70"/>
      <c r="AV1" s="70"/>
    </row>
    <row r="2" spans="1:56" ht="19.5" thickBot="1">
      <c r="B2" s="43" t="s">
        <v>27</v>
      </c>
      <c r="BD2" s="43" t="s">
        <v>27</v>
      </c>
    </row>
    <row r="3" spans="1:56" ht="21.75" thickBot="1">
      <c r="B3" s="46" t="s">
        <v>29</v>
      </c>
      <c r="K3" s="53"/>
      <c r="L3" s="53"/>
      <c r="M3" s="53"/>
      <c r="N3" s="53"/>
      <c r="O3" s="53"/>
      <c r="P3" s="53"/>
      <c r="Q3" s="53"/>
      <c r="R3" s="53"/>
      <c r="S3" s="53"/>
      <c r="T3" s="53"/>
      <c r="AN3" s="58"/>
      <c r="AO3" s="58"/>
      <c r="AQ3" s="58"/>
      <c r="AR3" s="249" t="s">
        <v>30</v>
      </c>
      <c r="AS3" s="250"/>
      <c r="AT3" s="250"/>
      <c r="AU3" s="250"/>
      <c r="AV3" s="250"/>
      <c r="AW3" s="250"/>
      <c r="AX3" s="250"/>
      <c r="AY3" s="251"/>
      <c r="BD3" s="47" t="s">
        <v>29</v>
      </c>
    </row>
    <row r="4" spans="1:56" ht="19.5" thickBot="1">
      <c r="B4" s="131" t="s">
        <v>28</v>
      </c>
      <c r="K4" s="53"/>
      <c r="L4" s="53"/>
      <c r="M4" s="53"/>
      <c r="N4" s="53"/>
      <c r="O4" s="53"/>
      <c r="P4" s="53"/>
      <c r="Q4" s="53"/>
      <c r="R4" s="53"/>
      <c r="S4" s="53"/>
      <c r="T4" s="53"/>
      <c r="AL4" s="74"/>
      <c r="AM4" s="74"/>
      <c r="BD4" s="133" t="s">
        <v>28</v>
      </c>
    </row>
    <row r="5" spans="1:56" ht="19.5" thickBot="1">
      <c r="B5" s="69" t="s">
        <v>30</v>
      </c>
    </row>
    <row r="6" spans="1:56" ht="15.75" thickBot="1"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AO6" s="252" t="s">
        <v>34</v>
      </c>
      <c r="AP6" s="253"/>
      <c r="AQ6" s="253"/>
      <c r="AR6" s="253"/>
      <c r="AS6" s="253"/>
      <c r="AT6" s="253"/>
      <c r="AU6" s="254"/>
      <c r="AV6" s="255" t="s">
        <v>35</v>
      </c>
      <c r="AW6" s="256"/>
      <c r="AX6" s="256"/>
      <c r="AY6" s="256"/>
      <c r="AZ6" s="256"/>
      <c r="BA6" s="256"/>
      <c r="BB6" s="257"/>
    </row>
    <row r="7" spans="1:56" ht="24" thickBot="1">
      <c r="A7" s="4"/>
      <c r="B7" s="266" t="s">
        <v>1</v>
      </c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268"/>
      <c r="Z7" s="269"/>
      <c r="AA7" s="270" t="s">
        <v>14</v>
      </c>
      <c r="AB7" s="270"/>
      <c r="AC7" s="270"/>
      <c r="AD7" s="271"/>
      <c r="AE7" s="272" t="s">
        <v>18</v>
      </c>
      <c r="AF7" s="270"/>
      <c r="AG7" s="270"/>
      <c r="AH7" s="273"/>
      <c r="AI7" s="75"/>
      <c r="AJ7" s="91" t="s">
        <v>8</v>
      </c>
      <c r="AK7" s="92" t="s">
        <v>19</v>
      </c>
      <c r="AL7" s="92" t="s">
        <v>20</v>
      </c>
      <c r="AM7" s="92" t="s">
        <v>21</v>
      </c>
      <c r="AO7" s="64"/>
      <c r="AP7" s="4"/>
      <c r="AQ7" s="4"/>
      <c r="AR7" s="4"/>
      <c r="AS7" s="4"/>
      <c r="AT7" s="4"/>
      <c r="AU7" s="65"/>
      <c r="AV7" s="64"/>
      <c r="AW7" s="4"/>
      <c r="AX7" s="4"/>
      <c r="AY7" s="4"/>
      <c r="AZ7" s="4"/>
      <c r="BA7" s="4"/>
      <c r="BB7" s="65"/>
    </row>
    <row r="8" spans="1:56" ht="15.75" thickBot="1">
      <c r="A8" s="35" t="s">
        <v>0</v>
      </c>
      <c r="B8" s="36">
        <v>1</v>
      </c>
      <c r="C8" s="37">
        <v>2</v>
      </c>
      <c r="D8" s="37">
        <v>3</v>
      </c>
      <c r="E8" s="37">
        <v>4</v>
      </c>
      <c r="F8" s="37">
        <v>5</v>
      </c>
      <c r="G8" s="37">
        <v>6</v>
      </c>
      <c r="H8" s="37">
        <v>7</v>
      </c>
      <c r="I8" s="37">
        <v>8</v>
      </c>
      <c r="J8" s="37">
        <v>9</v>
      </c>
      <c r="K8" s="37">
        <v>10</v>
      </c>
      <c r="L8" s="37">
        <v>11</v>
      </c>
      <c r="M8" s="37">
        <v>12</v>
      </c>
      <c r="N8" s="37">
        <v>13</v>
      </c>
      <c r="O8" s="37">
        <v>14</v>
      </c>
      <c r="P8" s="37">
        <v>15</v>
      </c>
      <c r="Q8" s="37">
        <v>16</v>
      </c>
      <c r="R8" s="37">
        <v>17</v>
      </c>
      <c r="S8" s="37">
        <v>18</v>
      </c>
      <c r="T8" s="37">
        <v>19</v>
      </c>
      <c r="U8" s="37">
        <v>20</v>
      </c>
      <c r="V8" s="37">
        <v>21</v>
      </c>
      <c r="W8" s="37">
        <v>22</v>
      </c>
      <c r="X8" s="37">
        <v>23</v>
      </c>
      <c r="Y8" s="38">
        <v>24</v>
      </c>
      <c r="Z8" s="55">
        <v>25</v>
      </c>
      <c r="AA8" s="28" t="s">
        <v>16</v>
      </c>
      <c r="AB8" s="28" t="s">
        <v>15</v>
      </c>
      <c r="AC8" s="28" t="s">
        <v>5</v>
      </c>
      <c r="AD8" s="29" t="s">
        <v>6</v>
      </c>
      <c r="AE8" s="27" t="s">
        <v>7</v>
      </c>
      <c r="AF8" s="28" t="s">
        <v>17</v>
      </c>
      <c r="AG8" s="30" t="s">
        <v>5</v>
      </c>
      <c r="AH8" s="31" t="s">
        <v>6</v>
      </c>
      <c r="AI8" s="76"/>
      <c r="AJ8" s="90">
        <f>IF(SUM(B9:Z9)&gt;0,COUNT(B9:Z9),"")</f>
        <v>5</v>
      </c>
      <c r="AK8" s="90">
        <f t="shared" ref="AK8:AK39" si="0">IF(SUM(B9:Z9)&gt;0,VLOOKUP(COUNT(B9:Z9),FACTORES,4,FALSE),"")</f>
        <v>1.427</v>
      </c>
      <c r="AL8" s="52">
        <f t="shared" ref="AL8:AL39" si="1">IF(SUM(B9:Z9)&gt;0,VLOOKUP(COUNT(B9:Z9),FACTORES,7,FALSE),"")</f>
        <v>2.089</v>
      </c>
      <c r="AM8" s="52">
        <f t="shared" ref="AM8:AM39" si="2">IF(SUM(B9:Z9)&gt;0,VLOOKUP(COUNT(B9:Z9),FACTORES,8,FALSE),"")</f>
        <v>0</v>
      </c>
      <c r="AO8" s="64"/>
      <c r="AP8" s="245" t="s">
        <v>33</v>
      </c>
      <c r="AQ8" s="246"/>
      <c r="AR8" s="4"/>
      <c r="AS8" s="245" t="s">
        <v>36</v>
      </c>
      <c r="AT8" s="246"/>
      <c r="AU8" s="65"/>
      <c r="AV8" s="64"/>
      <c r="AW8" s="245" t="s">
        <v>33</v>
      </c>
      <c r="AX8" s="246"/>
      <c r="AY8" s="4"/>
      <c r="AZ8" s="245" t="s">
        <v>33</v>
      </c>
      <c r="BA8" s="246"/>
      <c r="BB8" s="65"/>
    </row>
    <row r="9" spans="1:56" ht="15.75" thickBot="1">
      <c r="A9" s="2">
        <v>1</v>
      </c>
      <c r="B9" s="23">
        <v>74.03</v>
      </c>
      <c r="C9" s="23">
        <v>74.001999999999995</v>
      </c>
      <c r="D9" s="23">
        <v>74.019000000000005</v>
      </c>
      <c r="E9" s="23">
        <v>73.992000000000004</v>
      </c>
      <c r="F9" s="23">
        <v>74.007999999999996</v>
      </c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6"/>
      <c r="Z9" s="23"/>
      <c r="AA9" s="54">
        <f>IF(SUM(B9:Z9)&gt;0,AVERAGE(B9:Z9),"")</f>
        <v>74.010199999999998</v>
      </c>
      <c r="AB9" s="32">
        <f>IF(SUM(B9:Z9)&gt;0,AVERAGE($AA$9:$AA$116),"")</f>
        <v>74.001464999999996</v>
      </c>
      <c r="AC9" s="32">
        <f t="shared" ref="AC9:AC40" si="3">IF(SUM(B9:Z9)&gt;0,AB9+VLOOKUP(COUNT(B9:Z9),FACTORES,4,FALSE)*AF9,"")</f>
        <v>74.015128964691741</v>
      </c>
      <c r="AD9" s="32">
        <f t="shared" ref="AD9:AD40" si="4">IF(SUM(B9:Z9)&gt;0,AB9-(VLOOKUP(COUNT(B9:Z9),FACTORES,4,FALSE)*AF9),"")</f>
        <v>73.987801035308252</v>
      </c>
      <c r="AE9" s="32">
        <f>IF(SUM(B9:Z9)&gt;0,STDEV(B9:Z9),"")</f>
        <v>1.4771594362153967E-2</v>
      </c>
      <c r="AF9" s="33">
        <f>IF(SUM(B9:Z9)&gt;0,AVERAGE($AE$9:$AE$116),"")</f>
        <v>9.5753081231576918E-3</v>
      </c>
      <c r="AG9" s="34">
        <f t="shared" ref="AG9:AG40" si="5">IF(SUM(B9:Z9)&gt;0,VLOOKUP(COUNT(B9:Z9),FACTORES,7,FALSE)*AF9,"")</f>
        <v>2.0002818669276418E-2</v>
      </c>
      <c r="AH9" s="34">
        <f t="shared" ref="AH9:AH40" si="6">IF(SUM(B9:Z9)&gt;0,VLOOKUP(COUNT(B9:Z9),FACTORES,6,FALSE)*AF9,"")</f>
        <v>0</v>
      </c>
      <c r="AI9" s="77"/>
      <c r="AJ9" s="78">
        <f t="shared" ref="AJ9:AJ72" si="7">IF(SUM(B10:Z10)&gt;0,COUNT(B10:Z10),"")</f>
        <v>3</v>
      </c>
      <c r="AK9" s="78">
        <f t="shared" si="0"/>
        <v>1.954</v>
      </c>
      <c r="AL9" s="73">
        <f t="shared" si="1"/>
        <v>2.5680000000000001</v>
      </c>
      <c r="AM9" s="73">
        <f t="shared" si="2"/>
        <v>0</v>
      </c>
      <c r="AO9" s="64"/>
      <c r="AP9" s="63" t="s">
        <v>5</v>
      </c>
      <c r="AQ9" s="59">
        <f>COUNTIF($AA$9:$AA$116,"&gt;"&amp;AC9:AC116)</f>
        <v>0</v>
      </c>
      <c r="AR9" s="4"/>
      <c r="AS9" s="63" t="s">
        <v>37</v>
      </c>
      <c r="AT9" s="59">
        <f>COUNTIF($AA$9:$AA$116,"&gt;"&amp;$AB$9)</f>
        <v>5</v>
      </c>
      <c r="AU9" s="65"/>
      <c r="AV9" s="64"/>
      <c r="AW9" s="63" t="s">
        <v>5</v>
      </c>
      <c r="AX9" s="61">
        <f>COUNTIF($AE$9:$AE$116,"&gt;"&amp;$AG$9)</f>
        <v>0</v>
      </c>
      <c r="AY9" s="4"/>
      <c r="AZ9" s="63" t="s">
        <v>5</v>
      </c>
      <c r="BA9" s="61">
        <f>COUNTIF($AE$9:$AE$116,"&gt;"&amp;$AF$9)</f>
        <v>5</v>
      </c>
      <c r="BB9" s="65"/>
    </row>
    <row r="10" spans="1:56" ht="15.75" thickBot="1">
      <c r="A10" s="2">
        <v>2</v>
      </c>
      <c r="B10" s="24">
        <v>73.995000000000005</v>
      </c>
      <c r="C10" s="24">
        <v>73.992000000000004</v>
      </c>
      <c r="D10" s="24">
        <v>74.001000000000005</v>
      </c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54">
        <f t="shared" ref="AA10:AA40" si="8">IF(SUM(B10:Z10)&gt;0,AVERAGE(B10:Z10),"")</f>
        <v>73.996000000000009</v>
      </c>
      <c r="AB10" s="32">
        <f t="shared" ref="AB10:AB40" si="9">IF(SUM(B10:Z10)&gt;0,AVERAGE($AA$9:$AA$116),"")</f>
        <v>74.001464999999996</v>
      </c>
      <c r="AC10" s="32">
        <f t="shared" si="3"/>
        <v>74.020175152072653</v>
      </c>
      <c r="AD10" s="32">
        <f t="shared" si="4"/>
        <v>73.982754847927339</v>
      </c>
      <c r="AE10" s="32">
        <f t="shared" ref="AE10:AE73" si="10">IF(SUM(B10:Z10)&gt;0,STDEV(B10:Z10),"")</f>
        <v>4.5825756949560139E-3</v>
      </c>
      <c r="AF10" s="33">
        <f t="shared" ref="AF10:AF73" si="11">IF(SUM(B10:Z10)&gt;0,AVERAGE($AE$9:$AE$116),"")</f>
        <v>9.5753081231576918E-3</v>
      </c>
      <c r="AG10" s="34">
        <f t="shared" si="5"/>
        <v>2.4589391260268954E-2</v>
      </c>
      <c r="AH10" s="34">
        <f t="shared" si="6"/>
        <v>0</v>
      </c>
      <c r="AI10" s="77"/>
      <c r="AJ10" s="78">
        <f t="shared" si="7"/>
        <v>5</v>
      </c>
      <c r="AK10" s="78">
        <f t="shared" si="0"/>
        <v>1.427</v>
      </c>
      <c r="AL10" s="73">
        <f t="shared" si="1"/>
        <v>2.089</v>
      </c>
      <c r="AM10" s="73">
        <f t="shared" si="2"/>
        <v>0</v>
      </c>
      <c r="AO10" s="64"/>
      <c r="AP10" s="62" t="s">
        <v>6</v>
      </c>
      <c r="AQ10" s="60">
        <f>COUNTIF($AA$9:$AA$116,"&lt;"&amp;AD9:AD116)</f>
        <v>0</v>
      </c>
      <c r="AR10" s="4"/>
      <c r="AS10" s="63" t="s">
        <v>38</v>
      </c>
      <c r="AT10" s="60">
        <f>COUNTIF($AA$9:$AA$116,"&lt;"&amp;$AB$10)</f>
        <v>5</v>
      </c>
      <c r="AU10" s="65"/>
      <c r="AV10" s="64"/>
      <c r="AW10" s="63" t="s">
        <v>6</v>
      </c>
      <c r="AX10" s="62">
        <f>COUNTIF($AE$9:$AE$116,"&lt;"&amp;$AH$9)</f>
        <v>0</v>
      </c>
      <c r="AY10" s="4"/>
      <c r="AZ10" s="63" t="s">
        <v>6</v>
      </c>
      <c r="BA10" s="62">
        <f>COUNTIF($AE$9:$AE$116,"&lt;"&amp;$AF$9)</f>
        <v>5</v>
      </c>
      <c r="BB10" s="65"/>
    </row>
    <row r="11" spans="1:56" ht="15.75" thickBot="1">
      <c r="A11" s="2">
        <v>3</v>
      </c>
      <c r="B11" s="24">
        <v>73.988</v>
      </c>
      <c r="C11" s="24">
        <v>74.024000000000001</v>
      </c>
      <c r="D11" s="24">
        <v>74.021000000000001</v>
      </c>
      <c r="E11" s="24">
        <v>74.004999999999995</v>
      </c>
      <c r="F11" s="24">
        <v>74.001999999999995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54">
        <f t="shared" si="8"/>
        <v>74.00800000000001</v>
      </c>
      <c r="AB11" s="32">
        <f t="shared" si="9"/>
        <v>74.001464999999996</v>
      </c>
      <c r="AC11" s="32">
        <f t="shared" si="3"/>
        <v>74.015128964691741</v>
      </c>
      <c r="AD11" s="32">
        <f t="shared" si="4"/>
        <v>73.987801035308252</v>
      </c>
      <c r="AE11" s="32">
        <f t="shared" si="10"/>
        <v>1.4747881203753907E-2</v>
      </c>
      <c r="AF11" s="33">
        <f t="shared" si="11"/>
        <v>9.5753081231576918E-3</v>
      </c>
      <c r="AG11" s="34">
        <f t="shared" si="5"/>
        <v>2.0002818669276418E-2</v>
      </c>
      <c r="AH11" s="34">
        <f t="shared" si="6"/>
        <v>0</v>
      </c>
      <c r="AI11" s="77"/>
      <c r="AJ11" s="78">
        <f t="shared" si="7"/>
        <v>5</v>
      </c>
      <c r="AK11" s="78">
        <f t="shared" si="0"/>
        <v>1.427</v>
      </c>
      <c r="AL11" s="73">
        <f t="shared" si="1"/>
        <v>2.089</v>
      </c>
      <c r="AM11" s="73">
        <f t="shared" si="2"/>
        <v>0</v>
      </c>
      <c r="AO11" s="64"/>
      <c r="AP11" s="4"/>
      <c r="AQ11" s="4"/>
      <c r="AR11" s="4"/>
      <c r="AS11" s="4"/>
      <c r="AT11" s="4"/>
      <c r="AU11" s="65"/>
      <c r="AV11" s="64"/>
      <c r="AW11" s="4"/>
      <c r="AX11" s="4"/>
      <c r="AY11" s="4"/>
      <c r="AZ11" s="4"/>
      <c r="BA11" s="4"/>
      <c r="BB11" s="65"/>
    </row>
    <row r="12" spans="1:56" ht="15.75" thickBot="1">
      <c r="A12" s="2">
        <v>4</v>
      </c>
      <c r="B12" s="24">
        <v>74.001999999999995</v>
      </c>
      <c r="C12" s="24">
        <v>73.995999999999995</v>
      </c>
      <c r="D12" s="24">
        <v>73.992999999999995</v>
      </c>
      <c r="E12" s="24">
        <v>74.015000000000001</v>
      </c>
      <c r="F12" s="24">
        <v>74.009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54">
        <f t="shared" si="8"/>
        <v>74.003</v>
      </c>
      <c r="AB12" s="32">
        <f t="shared" si="9"/>
        <v>74.001464999999996</v>
      </c>
      <c r="AC12" s="32">
        <f t="shared" si="3"/>
        <v>74.015128964691741</v>
      </c>
      <c r="AD12" s="32">
        <f t="shared" si="4"/>
        <v>73.987801035308252</v>
      </c>
      <c r="AE12" s="32">
        <f t="shared" si="10"/>
        <v>9.0829510622951661E-3</v>
      </c>
      <c r="AF12" s="33">
        <f t="shared" si="11"/>
        <v>9.5753081231576918E-3</v>
      </c>
      <c r="AG12" s="34">
        <f t="shared" si="5"/>
        <v>2.0002818669276418E-2</v>
      </c>
      <c r="AH12" s="34">
        <f t="shared" si="6"/>
        <v>0</v>
      </c>
      <c r="AI12" s="77"/>
      <c r="AJ12" s="78">
        <f t="shared" si="7"/>
        <v>5</v>
      </c>
      <c r="AK12" s="78">
        <f t="shared" si="0"/>
        <v>1.427</v>
      </c>
      <c r="AL12" s="73">
        <f t="shared" si="1"/>
        <v>2.089</v>
      </c>
      <c r="AM12" s="73">
        <f t="shared" si="2"/>
        <v>0</v>
      </c>
      <c r="AO12" s="64"/>
      <c r="AP12" s="4"/>
      <c r="AQ12" s="4"/>
      <c r="AR12" s="4"/>
      <c r="AS12" s="88" t="s">
        <v>42</v>
      </c>
      <c r="AT12" s="89">
        <f>SUM(AT9:AT10)</f>
        <v>10</v>
      </c>
      <c r="AU12" s="65"/>
      <c r="AV12" s="64"/>
      <c r="AW12" s="4"/>
      <c r="AX12" s="4"/>
      <c r="AY12" s="4"/>
      <c r="AZ12" s="88" t="s">
        <v>42</v>
      </c>
      <c r="BA12" s="89">
        <f>SUM(BA9:BA10)</f>
        <v>10</v>
      </c>
      <c r="BB12" s="65"/>
    </row>
    <row r="13" spans="1:56" ht="15.75" thickBot="1">
      <c r="A13" s="2">
        <v>5</v>
      </c>
      <c r="B13" s="24">
        <v>73.992000000000004</v>
      </c>
      <c r="C13" s="24">
        <v>74.007000000000005</v>
      </c>
      <c r="D13" s="24">
        <v>74.015000000000001</v>
      </c>
      <c r="E13" s="24">
        <v>73.989000000000004</v>
      </c>
      <c r="F13" s="24">
        <v>74.013999999999996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54">
        <f t="shared" si="8"/>
        <v>74.003400000000013</v>
      </c>
      <c r="AB13" s="32">
        <f t="shared" si="9"/>
        <v>74.001464999999996</v>
      </c>
      <c r="AC13" s="32">
        <f t="shared" si="3"/>
        <v>74.015128964691741</v>
      </c>
      <c r="AD13" s="32">
        <f t="shared" si="4"/>
        <v>73.987801035308252</v>
      </c>
      <c r="AE13" s="32">
        <f t="shared" si="10"/>
        <v>1.2218837915282027E-2</v>
      </c>
      <c r="AF13" s="33">
        <f t="shared" si="11"/>
        <v>9.5753081231576918E-3</v>
      </c>
      <c r="AG13" s="34">
        <f t="shared" si="5"/>
        <v>2.0002818669276418E-2</v>
      </c>
      <c r="AH13" s="34">
        <f t="shared" si="6"/>
        <v>0</v>
      </c>
      <c r="AI13" s="77"/>
      <c r="AJ13" s="78">
        <f t="shared" si="7"/>
        <v>4</v>
      </c>
      <c r="AK13" s="78">
        <f t="shared" si="0"/>
        <v>1.6279999999999999</v>
      </c>
      <c r="AL13" s="73">
        <f t="shared" si="1"/>
        <v>2.266</v>
      </c>
      <c r="AM13" s="73">
        <f t="shared" si="2"/>
        <v>0</v>
      </c>
      <c r="AO13" s="64"/>
      <c r="AP13" s="4"/>
      <c r="AQ13" s="4"/>
      <c r="AR13" s="4"/>
      <c r="AS13" s="4"/>
      <c r="AT13" s="4"/>
      <c r="AU13" s="65"/>
      <c r="AV13" s="64"/>
      <c r="AW13" s="4"/>
      <c r="AX13" s="4"/>
      <c r="AY13" s="4"/>
      <c r="AZ13" s="4"/>
      <c r="BA13" s="4"/>
      <c r="BB13" s="65"/>
    </row>
    <row r="14" spans="1:56" ht="15.75" thickBot="1">
      <c r="A14" s="2">
        <v>6</v>
      </c>
      <c r="B14" s="24">
        <v>74.009</v>
      </c>
      <c r="C14" s="24">
        <v>73.994</v>
      </c>
      <c r="D14" s="24">
        <v>73.997</v>
      </c>
      <c r="E14" s="24">
        <v>73.984999999999999</v>
      </c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54">
        <f t="shared" si="8"/>
        <v>73.996250000000003</v>
      </c>
      <c r="AB14" s="32">
        <f t="shared" si="9"/>
        <v>74.001464999999996</v>
      </c>
      <c r="AC14" s="32">
        <f t="shared" si="3"/>
        <v>74.017053601624497</v>
      </c>
      <c r="AD14" s="32">
        <f t="shared" si="4"/>
        <v>73.985876398375495</v>
      </c>
      <c r="AE14" s="32">
        <f t="shared" si="10"/>
        <v>9.9121138007998797E-3</v>
      </c>
      <c r="AF14" s="33">
        <f t="shared" si="11"/>
        <v>9.5753081231576918E-3</v>
      </c>
      <c r="AG14" s="34">
        <f t="shared" si="5"/>
        <v>2.1697648207075329E-2</v>
      </c>
      <c r="AH14" s="34">
        <f t="shared" si="6"/>
        <v>0</v>
      </c>
      <c r="AI14" s="77"/>
      <c r="AJ14" s="78">
        <f t="shared" si="7"/>
        <v>4</v>
      </c>
      <c r="AK14" s="78">
        <f t="shared" si="0"/>
        <v>1.6279999999999999</v>
      </c>
      <c r="AL14" s="73">
        <f t="shared" si="1"/>
        <v>2.266</v>
      </c>
      <c r="AM14" s="73">
        <f t="shared" si="2"/>
        <v>0</v>
      </c>
      <c r="AO14" s="64"/>
      <c r="AP14" s="4"/>
      <c r="AQ14" s="4"/>
      <c r="AR14" s="4"/>
      <c r="AS14" s="4"/>
      <c r="AT14" s="4"/>
      <c r="AU14" s="65"/>
      <c r="AV14" s="64"/>
      <c r="AW14" s="4"/>
      <c r="AX14" s="4"/>
      <c r="AY14" s="4"/>
      <c r="AZ14" s="4"/>
      <c r="BA14" s="4"/>
      <c r="BB14" s="65"/>
    </row>
    <row r="15" spans="1:56" ht="15.75" thickBot="1">
      <c r="A15" s="2">
        <v>7</v>
      </c>
      <c r="B15" s="24">
        <v>73.995000000000005</v>
      </c>
      <c r="C15" s="24">
        <v>74.006</v>
      </c>
      <c r="D15" s="24">
        <v>73.994</v>
      </c>
      <c r="E15" s="24">
        <v>74</v>
      </c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54">
        <f t="shared" si="8"/>
        <v>73.998750000000001</v>
      </c>
      <c r="AB15" s="32">
        <f t="shared" si="9"/>
        <v>74.001464999999996</v>
      </c>
      <c r="AC15" s="32">
        <f t="shared" si="3"/>
        <v>74.017053601624497</v>
      </c>
      <c r="AD15" s="32">
        <f t="shared" si="4"/>
        <v>73.985876398375495</v>
      </c>
      <c r="AE15" s="32">
        <f t="shared" si="10"/>
        <v>5.4999999999991315E-3</v>
      </c>
      <c r="AF15" s="33">
        <f t="shared" si="11"/>
        <v>9.5753081231576918E-3</v>
      </c>
      <c r="AG15" s="34">
        <f t="shared" si="5"/>
        <v>2.1697648207075329E-2</v>
      </c>
      <c r="AH15" s="34">
        <f t="shared" si="6"/>
        <v>0</v>
      </c>
      <c r="AI15" s="77"/>
      <c r="AJ15" s="78">
        <f t="shared" si="7"/>
        <v>5</v>
      </c>
      <c r="AK15" s="78">
        <f t="shared" si="0"/>
        <v>1.427</v>
      </c>
      <c r="AL15" s="73">
        <f t="shared" si="1"/>
        <v>2.089</v>
      </c>
      <c r="AM15" s="73">
        <f t="shared" si="2"/>
        <v>0</v>
      </c>
      <c r="AO15" s="64"/>
      <c r="AP15" s="4"/>
      <c r="AQ15" s="4"/>
      <c r="AR15" s="4"/>
      <c r="AS15" s="4"/>
      <c r="AT15" s="4"/>
      <c r="AU15" s="65"/>
      <c r="AV15" s="64"/>
      <c r="AW15" s="4"/>
      <c r="AX15" s="4"/>
      <c r="AY15" s="4"/>
      <c r="AZ15" s="4"/>
      <c r="BA15" s="4"/>
      <c r="BB15" s="65"/>
    </row>
    <row r="16" spans="1:56" ht="15.75" thickBot="1">
      <c r="A16" s="2">
        <v>8</v>
      </c>
      <c r="B16" s="24">
        <v>73.984999999999999</v>
      </c>
      <c r="C16" s="24">
        <v>74.003</v>
      </c>
      <c r="D16" s="24">
        <v>73.992999999999995</v>
      </c>
      <c r="E16" s="24">
        <v>74.015000000000001</v>
      </c>
      <c r="F16" s="24">
        <v>73.988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54">
        <f t="shared" si="8"/>
        <v>73.996799999999993</v>
      </c>
      <c r="AB16" s="32">
        <f t="shared" si="9"/>
        <v>74.001464999999996</v>
      </c>
      <c r="AC16" s="32">
        <f t="shared" si="3"/>
        <v>74.015128964691741</v>
      </c>
      <c r="AD16" s="32">
        <f t="shared" si="4"/>
        <v>73.987801035308252</v>
      </c>
      <c r="AE16" s="32">
        <f t="shared" si="10"/>
        <v>1.2255610959883655E-2</v>
      </c>
      <c r="AF16" s="33">
        <f t="shared" si="11"/>
        <v>9.5753081231576918E-3</v>
      </c>
      <c r="AG16" s="34">
        <f t="shared" si="5"/>
        <v>2.0002818669276418E-2</v>
      </c>
      <c r="AH16" s="34">
        <f t="shared" si="6"/>
        <v>0</v>
      </c>
      <c r="AI16" s="77"/>
      <c r="AJ16" s="78">
        <f t="shared" si="7"/>
        <v>4</v>
      </c>
      <c r="AK16" s="78">
        <f t="shared" si="0"/>
        <v>1.6279999999999999</v>
      </c>
      <c r="AL16" s="73">
        <f t="shared" si="1"/>
        <v>2.266</v>
      </c>
      <c r="AM16" s="73">
        <f t="shared" si="2"/>
        <v>0</v>
      </c>
      <c r="AO16" s="64"/>
      <c r="AP16" s="4"/>
      <c r="AQ16" s="4"/>
      <c r="AR16" s="4"/>
      <c r="AS16" s="4"/>
      <c r="AT16" s="4"/>
      <c r="AU16" s="65"/>
      <c r="AV16" s="64"/>
      <c r="AW16" s="4"/>
      <c r="AX16" s="4"/>
      <c r="AY16" s="4"/>
      <c r="AZ16" s="4"/>
      <c r="BA16" s="4"/>
      <c r="BB16" s="65"/>
    </row>
    <row r="17" spans="1:54" ht="15.75" thickBot="1">
      <c r="A17" s="2">
        <v>9</v>
      </c>
      <c r="B17" s="24">
        <v>74.007999999999996</v>
      </c>
      <c r="C17" s="24">
        <v>73.995000000000005</v>
      </c>
      <c r="D17" s="24">
        <v>74.009</v>
      </c>
      <c r="E17" s="24">
        <v>74.004999999999995</v>
      </c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54">
        <f t="shared" si="8"/>
        <v>74.004249999999999</v>
      </c>
      <c r="AB17" s="32">
        <f t="shared" si="9"/>
        <v>74.001464999999996</v>
      </c>
      <c r="AC17" s="32">
        <f t="shared" si="3"/>
        <v>74.017053601624497</v>
      </c>
      <c r="AD17" s="32">
        <f t="shared" si="4"/>
        <v>73.985876398375495</v>
      </c>
      <c r="AE17" s="32">
        <f t="shared" si="10"/>
        <v>6.3966136874620107E-3</v>
      </c>
      <c r="AF17" s="33">
        <f t="shared" si="11"/>
        <v>9.5753081231576918E-3</v>
      </c>
      <c r="AG17" s="34">
        <f t="shared" si="5"/>
        <v>2.1697648207075329E-2</v>
      </c>
      <c r="AH17" s="34">
        <f t="shared" si="6"/>
        <v>0</v>
      </c>
      <c r="AI17" s="77"/>
      <c r="AJ17" s="78">
        <f t="shared" si="7"/>
        <v>5</v>
      </c>
      <c r="AK17" s="78">
        <f t="shared" si="0"/>
        <v>1.427</v>
      </c>
      <c r="AL17" s="73">
        <f t="shared" si="1"/>
        <v>2.089</v>
      </c>
      <c r="AM17" s="73">
        <f t="shared" si="2"/>
        <v>0</v>
      </c>
      <c r="AO17" s="64"/>
      <c r="AP17" s="4"/>
      <c r="AQ17" s="4"/>
      <c r="AR17" s="4"/>
      <c r="AS17" s="4"/>
      <c r="AT17" s="4"/>
      <c r="AU17" s="65"/>
      <c r="AV17" s="64"/>
      <c r="AW17" s="4"/>
      <c r="AX17" s="4"/>
      <c r="AY17" s="4"/>
      <c r="AZ17" s="4"/>
      <c r="BA17" s="4"/>
      <c r="BB17" s="65"/>
    </row>
    <row r="18" spans="1:54" ht="15.75" thickBot="1">
      <c r="A18" s="2">
        <v>10</v>
      </c>
      <c r="B18" s="24">
        <v>73.998000000000005</v>
      </c>
      <c r="C18" s="24">
        <v>74</v>
      </c>
      <c r="D18" s="24">
        <v>73.989999999999995</v>
      </c>
      <c r="E18" s="24">
        <v>74.007000000000005</v>
      </c>
      <c r="F18" s="24">
        <v>73.995000000000005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54">
        <f t="shared" si="8"/>
        <v>73.998000000000005</v>
      </c>
      <c r="AB18" s="32">
        <f t="shared" si="9"/>
        <v>74.001464999999996</v>
      </c>
      <c r="AC18" s="32">
        <f t="shared" si="3"/>
        <v>74.015128964691741</v>
      </c>
      <c r="AD18" s="32">
        <f t="shared" si="4"/>
        <v>73.987801035308252</v>
      </c>
      <c r="AE18" s="32">
        <f t="shared" si="10"/>
        <v>6.2849025449911436E-3</v>
      </c>
      <c r="AF18" s="33">
        <f t="shared" si="11"/>
        <v>9.5753081231576918E-3</v>
      </c>
      <c r="AG18" s="34">
        <f t="shared" si="5"/>
        <v>2.0002818669276418E-2</v>
      </c>
      <c r="AH18" s="34">
        <f t="shared" si="6"/>
        <v>0</v>
      </c>
      <c r="AI18" s="77"/>
      <c r="AJ18" s="78" t="str">
        <f t="shared" si="7"/>
        <v/>
      </c>
      <c r="AK18" s="78" t="str">
        <f t="shared" si="0"/>
        <v/>
      </c>
      <c r="AL18" s="73" t="str">
        <f t="shared" si="1"/>
        <v/>
      </c>
      <c r="AM18" s="73" t="str">
        <f t="shared" si="2"/>
        <v/>
      </c>
      <c r="AO18" s="64"/>
      <c r="AP18" s="4"/>
      <c r="AQ18" s="4"/>
      <c r="AR18" s="4"/>
      <c r="AS18" s="4"/>
      <c r="AT18" s="4"/>
      <c r="AU18" s="65"/>
      <c r="AV18" s="64"/>
      <c r="AW18" s="4"/>
      <c r="AX18" s="4"/>
      <c r="AY18" s="4"/>
      <c r="AZ18" s="4"/>
      <c r="BA18" s="4"/>
      <c r="BB18" s="65"/>
    </row>
    <row r="19" spans="1:54" ht="15.75" thickBot="1">
      <c r="A19" s="2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54" t="str">
        <f t="shared" si="8"/>
        <v/>
      </c>
      <c r="AB19" s="32" t="str">
        <f t="shared" si="9"/>
        <v/>
      </c>
      <c r="AC19" s="32" t="str">
        <f t="shared" si="3"/>
        <v/>
      </c>
      <c r="AD19" s="32" t="str">
        <f t="shared" si="4"/>
        <v/>
      </c>
      <c r="AE19" s="32" t="str">
        <f t="shared" si="10"/>
        <v/>
      </c>
      <c r="AF19" s="33" t="str">
        <f t="shared" si="11"/>
        <v/>
      </c>
      <c r="AG19" s="34" t="str">
        <f t="shared" si="5"/>
        <v/>
      </c>
      <c r="AH19" s="34" t="str">
        <f t="shared" si="6"/>
        <v/>
      </c>
      <c r="AI19" s="77"/>
      <c r="AJ19" s="78" t="str">
        <f t="shared" si="7"/>
        <v/>
      </c>
      <c r="AK19" s="78" t="str">
        <f t="shared" si="0"/>
        <v/>
      </c>
      <c r="AL19" s="73" t="str">
        <f t="shared" si="1"/>
        <v/>
      </c>
      <c r="AM19" s="73" t="str">
        <f t="shared" si="2"/>
        <v/>
      </c>
      <c r="AO19" s="64"/>
      <c r="AP19" s="4"/>
      <c r="AQ19" s="4"/>
      <c r="AR19" s="4"/>
      <c r="AS19" s="4"/>
      <c r="AT19" s="4"/>
      <c r="AU19" s="65"/>
      <c r="AV19" s="64"/>
      <c r="AW19" s="4"/>
      <c r="AX19" s="4"/>
      <c r="AY19" s="4"/>
      <c r="AZ19" s="4"/>
      <c r="BA19" s="4"/>
      <c r="BB19" s="65"/>
    </row>
    <row r="20" spans="1:54" ht="15.75" thickBot="1">
      <c r="A20" s="2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54" t="str">
        <f t="shared" si="8"/>
        <v/>
      </c>
      <c r="AB20" s="32" t="str">
        <f t="shared" si="9"/>
        <v/>
      </c>
      <c r="AC20" s="32" t="str">
        <f t="shared" si="3"/>
        <v/>
      </c>
      <c r="AD20" s="32" t="str">
        <f t="shared" si="4"/>
        <v/>
      </c>
      <c r="AE20" s="32" t="str">
        <f t="shared" si="10"/>
        <v/>
      </c>
      <c r="AF20" s="33" t="str">
        <f t="shared" si="11"/>
        <v/>
      </c>
      <c r="AG20" s="34" t="str">
        <f t="shared" si="5"/>
        <v/>
      </c>
      <c r="AH20" s="34" t="str">
        <f t="shared" si="6"/>
        <v/>
      </c>
      <c r="AI20" s="77"/>
      <c r="AJ20" s="78" t="str">
        <f t="shared" si="7"/>
        <v/>
      </c>
      <c r="AK20" s="78" t="str">
        <f t="shared" si="0"/>
        <v/>
      </c>
      <c r="AL20" s="73" t="str">
        <f t="shared" si="1"/>
        <v/>
      </c>
      <c r="AM20" s="73" t="str">
        <f t="shared" si="2"/>
        <v/>
      </c>
      <c r="AO20" s="64"/>
      <c r="AP20" s="4"/>
      <c r="AQ20" s="4"/>
      <c r="AR20" s="4"/>
      <c r="AS20" s="4"/>
      <c r="AT20" s="4"/>
      <c r="AU20" s="65"/>
      <c r="AV20" s="64"/>
      <c r="AW20" s="4"/>
      <c r="AX20" s="4"/>
      <c r="AY20" s="4"/>
      <c r="AZ20" s="4"/>
      <c r="BA20" s="4"/>
      <c r="BB20" s="65"/>
    </row>
    <row r="21" spans="1:54" ht="15.75" thickBot="1">
      <c r="A21" s="2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54" t="str">
        <f t="shared" si="8"/>
        <v/>
      </c>
      <c r="AB21" s="32" t="str">
        <f t="shared" si="9"/>
        <v/>
      </c>
      <c r="AC21" s="32" t="str">
        <f t="shared" si="3"/>
        <v/>
      </c>
      <c r="AD21" s="32" t="str">
        <f t="shared" si="4"/>
        <v/>
      </c>
      <c r="AE21" s="32" t="str">
        <f t="shared" si="10"/>
        <v/>
      </c>
      <c r="AF21" s="33" t="str">
        <f t="shared" si="11"/>
        <v/>
      </c>
      <c r="AG21" s="34" t="str">
        <f t="shared" si="5"/>
        <v/>
      </c>
      <c r="AH21" s="34" t="str">
        <f t="shared" si="6"/>
        <v/>
      </c>
      <c r="AI21" s="77"/>
      <c r="AJ21" s="78" t="str">
        <f t="shared" si="7"/>
        <v/>
      </c>
      <c r="AK21" s="78" t="str">
        <f t="shared" si="0"/>
        <v/>
      </c>
      <c r="AL21" s="73" t="str">
        <f t="shared" si="1"/>
        <v/>
      </c>
      <c r="AM21" s="73" t="str">
        <f t="shared" si="2"/>
        <v/>
      </c>
      <c r="AO21" s="64"/>
      <c r="AP21" s="4"/>
      <c r="AQ21" s="4"/>
      <c r="AR21" s="4"/>
      <c r="AS21" s="4"/>
      <c r="AT21" s="4"/>
      <c r="AU21" s="65"/>
      <c r="AV21" s="64"/>
      <c r="AW21" s="4"/>
      <c r="AX21" s="4"/>
      <c r="AY21" s="4"/>
      <c r="AZ21" s="4"/>
      <c r="BA21" s="4"/>
      <c r="BB21" s="65"/>
    </row>
    <row r="22" spans="1:54" ht="15.75" thickBot="1">
      <c r="A22" s="2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54" t="str">
        <f t="shared" si="8"/>
        <v/>
      </c>
      <c r="AB22" s="32" t="str">
        <f t="shared" si="9"/>
        <v/>
      </c>
      <c r="AC22" s="32" t="str">
        <f t="shared" si="3"/>
        <v/>
      </c>
      <c r="AD22" s="32" t="str">
        <f t="shared" si="4"/>
        <v/>
      </c>
      <c r="AE22" s="32" t="str">
        <f t="shared" si="10"/>
        <v/>
      </c>
      <c r="AF22" s="33" t="str">
        <f t="shared" si="11"/>
        <v/>
      </c>
      <c r="AG22" s="34" t="str">
        <f t="shared" si="5"/>
        <v/>
      </c>
      <c r="AH22" s="34" t="str">
        <f t="shared" si="6"/>
        <v/>
      </c>
      <c r="AI22" s="77"/>
      <c r="AJ22" s="78" t="str">
        <f t="shared" si="7"/>
        <v/>
      </c>
      <c r="AK22" s="78" t="str">
        <f t="shared" si="0"/>
        <v/>
      </c>
      <c r="AL22" s="73" t="str">
        <f t="shared" si="1"/>
        <v/>
      </c>
      <c r="AM22" s="73" t="str">
        <f t="shared" si="2"/>
        <v/>
      </c>
      <c r="AO22" s="64"/>
      <c r="AP22" s="4"/>
      <c r="AQ22" s="4"/>
      <c r="AR22" s="4"/>
      <c r="AS22" s="4"/>
      <c r="AT22" s="4"/>
      <c r="AU22" s="65"/>
      <c r="AV22" s="64"/>
      <c r="AW22" s="4"/>
      <c r="AX22" s="4"/>
      <c r="AY22" s="4"/>
      <c r="AZ22" s="4"/>
      <c r="BA22" s="4"/>
      <c r="BB22" s="65"/>
    </row>
    <row r="23" spans="1:54" ht="15.75" thickBot="1">
      <c r="A23" s="2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54" t="str">
        <f t="shared" si="8"/>
        <v/>
      </c>
      <c r="AB23" s="32" t="str">
        <f t="shared" si="9"/>
        <v/>
      </c>
      <c r="AC23" s="32" t="str">
        <f t="shared" si="3"/>
        <v/>
      </c>
      <c r="AD23" s="32" t="str">
        <f t="shared" si="4"/>
        <v/>
      </c>
      <c r="AE23" s="32" t="str">
        <f t="shared" si="10"/>
        <v/>
      </c>
      <c r="AF23" s="33" t="str">
        <f t="shared" si="11"/>
        <v/>
      </c>
      <c r="AG23" s="34" t="str">
        <f t="shared" si="5"/>
        <v/>
      </c>
      <c r="AH23" s="34" t="str">
        <f t="shared" si="6"/>
        <v/>
      </c>
      <c r="AI23" s="77"/>
      <c r="AJ23" s="78" t="str">
        <f t="shared" si="7"/>
        <v/>
      </c>
      <c r="AK23" s="78" t="str">
        <f t="shared" si="0"/>
        <v/>
      </c>
      <c r="AL23" s="73" t="str">
        <f t="shared" si="1"/>
        <v/>
      </c>
      <c r="AM23" s="73" t="str">
        <f t="shared" si="2"/>
        <v/>
      </c>
      <c r="AO23" s="64"/>
      <c r="AP23" s="4"/>
      <c r="AQ23" s="4"/>
      <c r="AR23" s="4"/>
      <c r="AS23" s="4"/>
      <c r="AT23" s="4"/>
      <c r="AU23" s="65"/>
      <c r="AV23" s="64"/>
      <c r="AW23" s="4"/>
      <c r="AX23" s="4"/>
      <c r="AY23" s="4"/>
      <c r="AZ23" s="4"/>
      <c r="BA23" s="4"/>
      <c r="BB23" s="65"/>
    </row>
    <row r="24" spans="1:54" ht="15.75" thickBot="1">
      <c r="A24" s="2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54" t="str">
        <f t="shared" si="8"/>
        <v/>
      </c>
      <c r="AB24" s="32" t="str">
        <f t="shared" si="9"/>
        <v/>
      </c>
      <c r="AC24" s="32" t="str">
        <f t="shared" si="3"/>
        <v/>
      </c>
      <c r="AD24" s="32" t="str">
        <f t="shared" si="4"/>
        <v/>
      </c>
      <c r="AE24" s="32" t="str">
        <f t="shared" si="10"/>
        <v/>
      </c>
      <c r="AF24" s="33" t="str">
        <f t="shared" si="11"/>
        <v/>
      </c>
      <c r="AG24" s="34" t="str">
        <f t="shared" si="5"/>
        <v/>
      </c>
      <c r="AH24" s="34" t="str">
        <f t="shared" si="6"/>
        <v/>
      </c>
      <c r="AI24" s="77"/>
      <c r="AJ24" s="78" t="str">
        <f t="shared" si="7"/>
        <v/>
      </c>
      <c r="AK24" s="78" t="str">
        <f t="shared" si="0"/>
        <v/>
      </c>
      <c r="AL24" s="73" t="str">
        <f t="shared" si="1"/>
        <v/>
      </c>
      <c r="AM24" s="73" t="str">
        <f t="shared" si="2"/>
        <v/>
      </c>
      <c r="AO24" s="64"/>
      <c r="AP24" s="4"/>
      <c r="AQ24" s="4"/>
      <c r="AR24" s="4"/>
      <c r="AS24" s="4"/>
      <c r="AT24" s="4"/>
      <c r="AU24" s="65"/>
      <c r="AV24" s="64"/>
      <c r="AW24" s="4"/>
      <c r="AX24" s="4"/>
      <c r="AY24" s="4"/>
      <c r="AZ24" s="4"/>
      <c r="BA24" s="4"/>
      <c r="BB24" s="65"/>
    </row>
    <row r="25" spans="1:54" ht="15.75" thickBot="1">
      <c r="A25" s="2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54" t="str">
        <f t="shared" si="8"/>
        <v/>
      </c>
      <c r="AB25" s="32" t="str">
        <f t="shared" si="9"/>
        <v/>
      </c>
      <c r="AC25" s="32" t="str">
        <f t="shared" si="3"/>
        <v/>
      </c>
      <c r="AD25" s="32" t="str">
        <f t="shared" si="4"/>
        <v/>
      </c>
      <c r="AE25" s="32" t="str">
        <f t="shared" si="10"/>
        <v/>
      </c>
      <c r="AF25" s="33" t="str">
        <f t="shared" si="11"/>
        <v/>
      </c>
      <c r="AG25" s="34" t="str">
        <f t="shared" si="5"/>
        <v/>
      </c>
      <c r="AH25" s="34" t="str">
        <f t="shared" si="6"/>
        <v/>
      </c>
      <c r="AI25" s="77"/>
      <c r="AJ25" s="78" t="str">
        <f t="shared" si="7"/>
        <v/>
      </c>
      <c r="AK25" s="78" t="str">
        <f t="shared" si="0"/>
        <v/>
      </c>
      <c r="AL25" s="73" t="str">
        <f t="shared" si="1"/>
        <v/>
      </c>
      <c r="AM25" s="73" t="str">
        <f t="shared" si="2"/>
        <v/>
      </c>
      <c r="AO25" s="64"/>
      <c r="AP25" s="4"/>
      <c r="AQ25" s="4"/>
      <c r="AR25" s="4"/>
      <c r="AS25" s="4"/>
      <c r="AT25" s="4"/>
      <c r="AU25" s="65"/>
      <c r="AV25" s="64"/>
      <c r="AW25" s="4"/>
      <c r="AX25" s="4"/>
      <c r="AY25" s="4"/>
      <c r="AZ25" s="4"/>
      <c r="BA25" s="4"/>
      <c r="BB25" s="65"/>
    </row>
    <row r="26" spans="1:54" ht="15.75" thickBot="1">
      <c r="A26" s="2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54" t="str">
        <f t="shared" si="8"/>
        <v/>
      </c>
      <c r="AB26" s="32" t="str">
        <f t="shared" si="9"/>
        <v/>
      </c>
      <c r="AC26" s="32" t="str">
        <f t="shared" si="3"/>
        <v/>
      </c>
      <c r="AD26" s="32" t="str">
        <f t="shared" si="4"/>
        <v/>
      </c>
      <c r="AE26" s="32" t="str">
        <f t="shared" si="10"/>
        <v/>
      </c>
      <c r="AF26" s="33" t="str">
        <f t="shared" si="11"/>
        <v/>
      </c>
      <c r="AG26" s="34" t="str">
        <f t="shared" si="5"/>
        <v/>
      </c>
      <c r="AH26" s="34" t="str">
        <f t="shared" si="6"/>
        <v/>
      </c>
      <c r="AI26" s="77"/>
      <c r="AJ26" s="78" t="str">
        <f t="shared" si="7"/>
        <v/>
      </c>
      <c r="AK26" s="78" t="str">
        <f t="shared" si="0"/>
        <v/>
      </c>
      <c r="AL26" s="73" t="str">
        <f t="shared" si="1"/>
        <v/>
      </c>
      <c r="AM26" s="73" t="str">
        <f t="shared" si="2"/>
        <v/>
      </c>
      <c r="AO26" s="64"/>
      <c r="AP26" s="4"/>
      <c r="AQ26" s="4"/>
      <c r="AR26" s="4"/>
      <c r="AS26" s="4"/>
      <c r="AT26" s="4"/>
      <c r="AU26" s="65"/>
      <c r="AV26" s="64"/>
      <c r="AW26" s="4"/>
      <c r="AX26" s="4"/>
      <c r="AY26" s="4"/>
      <c r="AZ26" s="4"/>
      <c r="BA26" s="4"/>
      <c r="BB26" s="65"/>
    </row>
    <row r="27" spans="1:54" ht="15.75" thickBot="1">
      <c r="A27" s="2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54" t="str">
        <f t="shared" si="8"/>
        <v/>
      </c>
      <c r="AB27" s="32" t="str">
        <f t="shared" si="9"/>
        <v/>
      </c>
      <c r="AC27" s="32" t="str">
        <f t="shared" si="3"/>
        <v/>
      </c>
      <c r="AD27" s="32" t="str">
        <f t="shared" si="4"/>
        <v/>
      </c>
      <c r="AE27" s="32" t="str">
        <f t="shared" si="10"/>
        <v/>
      </c>
      <c r="AF27" s="33" t="str">
        <f t="shared" si="11"/>
        <v/>
      </c>
      <c r="AG27" s="34" t="str">
        <f t="shared" si="5"/>
        <v/>
      </c>
      <c r="AH27" s="34" t="str">
        <f t="shared" si="6"/>
        <v/>
      </c>
      <c r="AI27" s="77"/>
      <c r="AJ27" s="78" t="str">
        <f t="shared" si="7"/>
        <v/>
      </c>
      <c r="AK27" s="78" t="str">
        <f t="shared" si="0"/>
        <v/>
      </c>
      <c r="AL27" s="73" t="str">
        <f t="shared" si="1"/>
        <v/>
      </c>
      <c r="AM27" s="73" t="str">
        <f t="shared" si="2"/>
        <v/>
      </c>
      <c r="AO27" s="64"/>
      <c r="AP27" s="4"/>
      <c r="AQ27" s="4"/>
      <c r="AR27" s="4"/>
      <c r="AS27" s="4"/>
      <c r="AT27" s="4"/>
      <c r="AU27" s="65"/>
      <c r="AV27" s="64"/>
      <c r="AW27" s="4"/>
      <c r="AX27" s="4"/>
      <c r="AY27" s="4"/>
      <c r="AZ27" s="4"/>
      <c r="BA27" s="4"/>
      <c r="BB27" s="65"/>
    </row>
    <row r="28" spans="1:54" ht="15.75" thickBot="1">
      <c r="A28" s="2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54" t="str">
        <f t="shared" si="8"/>
        <v/>
      </c>
      <c r="AB28" s="32" t="str">
        <f t="shared" si="9"/>
        <v/>
      </c>
      <c r="AC28" s="32" t="str">
        <f t="shared" si="3"/>
        <v/>
      </c>
      <c r="AD28" s="32" t="str">
        <f t="shared" si="4"/>
        <v/>
      </c>
      <c r="AE28" s="32" t="str">
        <f t="shared" si="10"/>
        <v/>
      </c>
      <c r="AF28" s="33" t="str">
        <f t="shared" si="11"/>
        <v/>
      </c>
      <c r="AG28" s="34" t="str">
        <f t="shared" si="5"/>
        <v/>
      </c>
      <c r="AH28" s="34" t="str">
        <f t="shared" si="6"/>
        <v/>
      </c>
      <c r="AI28" s="77"/>
      <c r="AJ28" s="78" t="str">
        <f t="shared" si="7"/>
        <v/>
      </c>
      <c r="AK28" s="78" t="str">
        <f t="shared" si="0"/>
        <v/>
      </c>
      <c r="AL28" s="73" t="str">
        <f t="shared" si="1"/>
        <v/>
      </c>
      <c r="AM28" s="73" t="str">
        <f t="shared" si="2"/>
        <v/>
      </c>
      <c r="AO28" s="64"/>
      <c r="AP28" s="4"/>
      <c r="AQ28" s="4"/>
      <c r="AR28" s="4"/>
      <c r="AS28" s="4"/>
      <c r="AT28" s="4"/>
      <c r="AU28" s="65"/>
      <c r="AV28" s="64"/>
      <c r="AW28" s="4"/>
      <c r="AX28" s="4"/>
      <c r="AY28" s="4"/>
      <c r="AZ28" s="4"/>
      <c r="BA28" s="4"/>
      <c r="BB28" s="65"/>
    </row>
    <row r="29" spans="1:54" ht="15.75" thickBot="1">
      <c r="A29" s="2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54" t="str">
        <f t="shared" si="8"/>
        <v/>
      </c>
      <c r="AB29" s="32" t="str">
        <f t="shared" si="9"/>
        <v/>
      </c>
      <c r="AC29" s="32" t="str">
        <f t="shared" si="3"/>
        <v/>
      </c>
      <c r="AD29" s="32" t="str">
        <f t="shared" si="4"/>
        <v/>
      </c>
      <c r="AE29" s="32" t="str">
        <f t="shared" si="10"/>
        <v/>
      </c>
      <c r="AF29" s="33" t="str">
        <f t="shared" si="11"/>
        <v/>
      </c>
      <c r="AG29" s="34" t="str">
        <f t="shared" si="5"/>
        <v/>
      </c>
      <c r="AH29" s="34" t="str">
        <f t="shared" si="6"/>
        <v/>
      </c>
      <c r="AI29" s="77"/>
      <c r="AJ29" s="78" t="str">
        <f t="shared" si="7"/>
        <v/>
      </c>
      <c r="AK29" s="78" t="str">
        <f t="shared" si="0"/>
        <v/>
      </c>
      <c r="AL29" s="73" t="str">
        <f t="shared" si="1"/>
        <v/>
      </c>
      <c r="AM29" s="73" t="str">
        <f t="shared" si="2"/>
        <v/>
      </c>
      <c r="AO29" s="64"/>
      <c r="AP29" s="4"/>
      <c r="AQ29" s="4"/>
      <c r="AR29" s="4"/>
      <c r="AS29" s="4"/>
      <c r="AT29" s="4"/>
      <c r="AU29" s="65"/>
      <c r="AV29" s="64"/>
      <c r="AW29" s="4"/>
      <c r="AX29" s="4"/>
      <c r="AY29" s="4"/>
      <c r="AZ29" s="4"/>
      <c r="BA29" s="4"/>
      <c r="BB29" s="65"/>
    </row>
    <row r="30" spans="1:54" ht="15.75" thickBot="1">
      <c r="A30" s="2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54" t="str">
        <f t="shared" si="8"/>
        <v/>
      </c>
      <c r="AB30" s="32" t="str">
        <f t="shared" si="9"/>
        <v/>
      </c>
      <c r="AC30" s="32" t="str">
        <f t="shared" si="3"/>
        <v/>
      </c>
      <c r="AD30" s="32" t="str">
        <f t="shared" si="4"/>
        <v/>
      </c>
      <c r="AE30" s="32" t="str">
        <f t="shared" si="10"/>
        <v/>
      </c>
      <c r="AF30" s="33" t="str">
        <f t="shared" si="11"/>
        <v/>
      </c>
      <c r="AG30" s="34" t="str">
        <f t="shared" si="5"/>
        <v/>
      </c>
      <c r="AH30" s="34" t="str">
        <f t="shared" si="6"/>
        <v/>
      </c>
      <c r="AI30" s="77"/>
      <c r="AJ30" s="78" t="str">
        <f t="shared" si="7"/>
        <v/>
      </c>
      <c r="AK30" s="78" t="str">
        <f t="shared" si="0"/>
        <v/>
      </c>
      <c r="AL30" s="73" t="str">
        <f t="shared" si="1"/>
        <v/>
      </c>
      <c r="AM30" s="73" t="str">
        <f t="shared" si="2"/>
        <v/>
      </c>
      <c r="AO30" s="64"/>
      <c r="AP30" s="4"/>
      <c r="AQ30" s="4"/>
      <c r="AR30" s="4"/>
      <c r="AS30" s="4"/>
      <c r="AT30" s="4"/>
      <c r="AU30" s="65"/>
      <c r="AV30" s="64"/>
      <c r="AW30" s="4"/>
      <c r="AX30" s="4"/>
      <c r="AY30" s="4"/>
      <c r="AZ30" s="4"/>
      <c r="BA30" s="4"/>
      <c r="BB30" s="65"/>
    </row>
    <row r="31" spans="1:54" ht="15.75" thickBot="1">
      <c r="A31" s="2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54" t="str">
        <f t="shared" si="8"/>
        <v/>
      </c>
      <c r="AB31" s="32" t="str">
        <f t="shared" si="9"/>
        <v/>
      </c>
      <c r="AC31" s="32" t="str">
        <f t="shared" si="3"/>
        <v/>
      </c>
      <c r="AD31" s="32" t="str">
        <f t="shared" si="4"/>
        <v/>
      </c>
      <c r="AE31" s="32" t="str">
        <f t="shared" si="10"/>
        <v/>
      </c>
      <c r="AF31" s="33" t="str">
        <f t="shared" si="11"/>
        <v/>
      </c>
      <c r="AG31" s="34" t="str">
        <f t="shared" si="5"/>
        <v/>
      </c>
      <c r="AH31" s="34" t="str">
        <f t="shared" si="6"/>
        <v/>
      </c>
      <c r="AI31" s="77"/>
      <c r="AJ31" s="78" t="str">
        <f t="shared" si="7"/>
        <v/>
      </c>
      <c r="AK31" s="78" t="str">
        <f t="shared" si="0"/>
        <v/>
      </c>
      <c r="AL31" s="73" t="str">
        <f t="shared" si="1"/>
        <v/>
      </c>
      <c r="AM31" s="73" t="str">
        <f t="shared" si="2"/>
        <v/>
      </c>
      <c r="AO31" s="64"/>
      <c r="AP31" s="4"/>
      <c r="AQ31" s="4"/>
      <c r="AR31" s="4"/>
      <c r="AS31" s="4"/>
      <c r="AT31" s="4"/>
      <c r="AU31" s="65"/>
      <c r="AV31" s="64"/>
      <c r="AW31" s="4"/>
      <c r="AX31" s="4"/>
      <c r="AY31" s="4"/>
      <c r="AZ31" s="4"/>
      <c r="BA31" s="4"/>
      <c r="BB31" s="65"/>
    </row>
    <row r="32" spans="1:54" ht="15.75" thickBot="1">
      <c r="A32" s="2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54" t="str">
        <f t="shared" si="8"/>
        <v/>
      </c>
      <c r="AB32" s="32" t="str">
        <f t="shared" si="9"/>
        <v/>
      </c>
      <c r="AC32" s="32" t="str">
        <f t="shared" si="3"/>
        <v/>
      </c>
      <c r="AD32" s="32" t="str">
        <f t="shared" si="4"/>
        <v/>
      </c>
      <c r="AE32" s="32" t="str">
        <f t="shared" si="10"/>
        <v/>
      </c>
      <c r="AF32" s="33" t="str">
        <f t="shared" si="11"/>
        <v/>
      </c>
      <c r="AG32" s="34" t="str">
        <f t="shared" si="5"/>
        <v/>
      </c>
      <c r="AH32" s="34" t="str">
        <f t="shared" si="6"/>
        <v/>
      </c>
      <c r="AI32" s="77"/>
      <c r="AJ32" s="78" t="str">
        <f t="shared" si="7"/>
        <v/>
      </c>
      <c r="AK32" s="78" t="str">
        <f t="shared" si="0"/>
        <v/>
      </c>
      <c r="AL32" s="73" t="str">
        <f t="shared" si="1"/>
        <v/>
      </c>
      <c r="AM32" s="73" t="str">
        <f t="shared" si="2"/>
        <v/>
      </c>
      <c r="AO32" s="64"/>
      <c r="AP32" s="4"/>
      <c r="AQ32" s="4"/>
      <c r="AR32" s="4"/>
      <c r="AS32" s="4"/>
      <c r="AT32" s="4"/>
      <c r="AU32" s="65"/>
      <c r="AV32" s="64"/>
      <c r="AW32" s="4"/>
      <c r="AX32" s="4"/>
      <c r="AY32" s="4"/>
      <c r="AZ32" s="4"/>
      <c r="BA32" s="4"/>
      <c r="BB32" s="65"/>
    </row>
    <row r="33" spans="1:54" ht="18" customHeight="1" thickBot="1">
      <c r="A33" s="2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54" t="str">
        <f t="shared" si="8"/>
        <v/>
      </c>
      <c r="AB33" s="32" t="str">
        <f t="shared" si="9"/>
        <v/>
      </c>
      <c r="AC33" s="32" t="str">
        <f t="shared" si="3"/>
        <v/>
      </c>
      <c r="AD33" s="32" t="str">
        <f t="shared" si="4"/>
        <v/>
      </c>
      <c r="AE33" s="32" t="str">
        <f t="shared" si="10"/>
        <v/>
      </c>
      <c r="AF33" s="33" t="str">
        <f t="shared" si="11"/>
        <v/>
      </c>
      <c r="AG33" s="34" t="str">
        <f t="shared" si="5"/>
        <v/>
      </c>
      <c r="AH33" s="34" t="str">
        <f t="shared" si="6"/>
        <v/>
      </c>
      <c r="AI33" s="77"/>
      <c r="AJ33" s="78" t="str">
        <f t="shared" si="7"/>
        <v/>
      </c>
      <c r="AK33" s="78" t="str">
        <f t="shared" si="0"/>
        <v/>
      </c>
      <c r="AL33" s="73" t="str">
        <f t="shared" si="1"/>
        <v/>
      </c>
      <c r="AM33" s="73" t="str">
        <f t="shared" si="2"/>
        <v/>
      </c>
      <c r="AO33" s="64"/>
      <c r="AP33" s="4"/>
      <c r="AQ33" s="4"/>
      <c r="AR33" s="4"/>
      <c r="AS33" s="4"/>
      <c r="AT33" s="4"/>
      <c r="AU33" s="65"/>
      <c r="AV33" s="64"/>
      <c r="AW33" s="4"/>
      <c r="AX33" s="4"/>
      <c r="AY33" s="4"/>
      <c r="AZ33" s="4"/>
      <c r="BA33" s="4"/>
      <c r="BB33" s="65"/>
    </row>
    <row r="34" spans="1:54" ht="15.75" thickBot="1">
      <c r="A34" s="2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54" t="str">
        <f t="shared" si="8"/>
        <v/>
      </c>
      <c r="AB34" s="32" t="str">
        <f t="shared" si="9"/>
        <v/>
      </c>
      <c r="AC34" s="32" t="str">
        <f t="shared" si="3"/>
        <v/>
      </c>
      <c r="AD34" s="32" t="str">
        <f t="shared" si="4"/>
        <v/>
      </c>
      <c r="AE34" s="32" t="str">
        <f t="shared" si="10"/>
        <v/>
      </c>
      <c r="AF34" s="33" t="str">
        <f t="shared" si="11"/>
        <v/>
      </c>
      <c r="AG34" s="34" t="str">
        <f t="shared" si="5"/>
        <v/>
      </c>
      <c r="AH34" s="34" t="str">
        <f t="shared" si="6"/>
        <v/>
      </c>
      <c r="AI34" s="77"/>
      <c r="AJ34" s="78" t="str">
        <f t="shared" si="7"/>
        <v/>
      </c>
      <c r="AK34" s="78" t="str">
        <f t="shared" si="0"/>
        <v/>
      </c>
      <c r="AL34" s="73" t="str">
        <f t="shared" si="1"/>
        <v/>
      </c>
      <c r="AM34" s="73" t="str">
        <f t="shared" si="2"/>
        <v/>
      </c>
      <c r="AO34" s="66"/>
      <c r="AP34" s="67"/>
      <c r="AQ34" s="67"/>
      <c r="AR34" s="67"/>
      <c r="AS34" s="67"/>
      <c r="AT34" s="67"/>
      <c r="AU34" s="68"/>
      <c r="AV34" s="66"/>
      <c r="AW34" s="67"/>
      <c r="AX34" s="67"/>
      <c r="AY34" s="67"/>
      <c r="AZ34" s="67"/>
      <c r="BA34" s="67"/>
      <c r="BB34" s="68"/>
    </row>
    <row r="35" spans="1:54" ht="15.75" thickBot="1">
      <c r="A35" s="2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54" t="str">
        <f t="shared" si="8"/>
        <v/>
      </c>
      <c r="AB35" s="32" t="str">
        <f t="shared" si="9"/>
        <v/>
      </c>
      <c r="AC35" s="32" t="str">
        <f t="shared" si="3"/>
        <v/>
      </c>
      <c r="AD35" s="32" t="str">
        <f t="shared" si="4"/>
        <v/>
      </c>
      <c r="AE35" s="32" t="str">
        <f t="shared" si="10"/>
        <v/>
      </c>
      <c r="AF35" s="33" t="str">
        <f t="shared" si="11"/>
        <v/>
      </c>
      <c r="AG35" s="34" t="str">
        <f t="shared" si="5"/>
        <v/>
      </c>
      <c r="AH35" s="34" t="str">
        <f t="shared" si="6"/>
        <v/>
      </c>
      <c r="AI35" s="77"/>
      <c r="AJ35" s="78" t="str">
        <f t="shared" si="7"/>
        <v/>
      </c>
      <c r="AK35" s="78" t="str">
        <f t="shared" si="0"/>
        <v/>
      </c>
      <c r="AL35" s="73" t="str">
        <f t="shared" si="1"/>
        <v/>
      </c>
      <c r="AM35" s="73" t="str">
        <f t="shared" si="2"/>
        <v/>
      </c>
    </row>
    <row r="36" spans="1:54" ht="15.75" thickBot="1">
      <c r="A36" s="2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54" t="str">
        <f t="shared" si="8"/>
        <v/>
      </c>
      <c r="AB36" s="32" t="str">
        <f t="shared" si="9"/>
        <v/>
      </c>
      <c r="AC36" s="32" t="str">
        <f t="shared" si="3"/>
        <v/>
      </c>
      <c r="AD36" s="32" t="str">
        <f t="shared" si="4"/>
        <v/>
      </c>
      <c r="AE36" s="32" t="str">
        <f t="shared" si="10"/>
        <v/>
      </c>
      <c r="AF36" s="33" t="str">
        <f t="shared" si="11"/>
        <v/>
      </c>
      <c r="AG36" s="34" t="str">
        <f t="shared" si="5"/>
        <v/>
      </c>
      <c r="AH36" s="34" t="str">
        <f t="shared" si="6"/>
        <v/>
      </c>
      <c r="AI36" s="77"/>
      <c r="AJ36" s="78" t="str">
        <f t="shared" si="7"/>
        <v/>
      </c>
      <c r="AK36" s="78" t="str">
        <f t="shared" si="0"/>
        <v/>
      </c>
      <c r="AL36" s="73" t="str">
        <f t="shared" si="1"/>
        <v/>
      </c>
      <c r="AM36" s="73" t="str">
        <f t="shared" si="2"/>
        <v/>
      </c>
    </row>
    <row r="37" spans="1:54" ht="15.75" thickBot="1">
      <c r="A37" s="2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54" t="str">
        <f t="shared" si="8"/>
        <v/>
      </c>
      <c r="AB37" s="32" t="str">
        <f t="shared" si="9"/>
        <v/>
      </c>
      <c r="AC37" s="32" t="str">
        <f t="shared" si="3"/>
        <v/>
      </c>
      <c r="AD37" s="32" t="str">
        <f t="shared" si="4"/>
        <v/>
      </c>
      <c r="AE37" s="32" t="str">
        <f t="shared" si="10"/>
        <v/>
      </c>
      <c r="AF37" s="33" t="str">
        <f t="shared" si="11"/>
        <v/>
      </c>
      <c r="AG37" s="34" t="str">
        <f t="shared" si="5"/>
        <v/>
      </c>
      <c r="AH37" s="34" t="str">
        <f t="shared" si="6"/>
        <v/>
      </c>
      <c r="AI37" s="77"/>
      <c r="AJ37" s="78" t="str">
        <f t="shared" si="7"/>
        <v/>
      </c>
      <c r="AK37" s="78" t="str">
        <f t="shared" si="0"/>
        <v/>
      </c>
      <c r="AL37" s="73" t="str">
        <f t="shared" si="1"/>
        <v/>
      </c>
      <c r="AM37" s="73" t="str">
        <f t="shared" si="2"/>
        <v/>
      </c>
    </row>
    <row r="38" spans="1:54" ht="15.75" thickBot="1">
      <c r="A38" s="2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54" t="str">
        <f t="shared" si="8"/>
        <v/>
      </c>
      <c r="AB38" s="32" t="str">
        <f t="shared" si="9"/>
        <v/>
      </c>
      <c r="AC38" s="32" t="str">
        <f t="shared" si="3"/>
        <v/>
      </c>
      <c r="AD38" s="32" t="str">
        <f t="shared" si="4"/>
        <v/>
      </c>
      <c r="AE38" s="32" t="str">
        <f t="shared" si="10"/>
        <v/>
      </c>
      <c r="AF38" s="33" t="str">
        <f t="shared" si="11"/>
        <v/>
      </c>
      <c r="AG38" s="34" t="str">
        <f t="shared" si="5"/>
        <v/>
      </c>
      <c r="AH38" s="34" t="str">
        <f t="shared" si="6"/>
        <v/>
      </c>
      <c r="AI38" s="77"/>
      <c r="AJ38" s="78" t="str">
        <f t="shared" si="7"/>
        <v/>
      </c>
      <c r="AK38" s="78" t="str">
        <f t="shared" si="0"/>
        <v/>
      </c>
      <c r="AL38" s="73" t="str">
        <f t="shared" si="1"/>
        <v/>
      </c>
      <c r="AM38" s="73" t="str">
        <f t="shared" si="2"/>
        <v/>
      </c>
    </row>
    <row r="39" spans="1:54" ht="15.75" thickBot="1">
      <c r="A39" s="2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54" t="str">
        <f t="shared" si="8"/>
        <v/>
      </c>
      <c r="AB39" s="32" t="str">
        <f t="shared" si="9"/>
        <v/>
      </c>
      <c r="AC39" s="32" t="str">
        <f t="shared" si="3"/>
        <v/>
      </c>
      <c r="AD39" s="32" t="str">
        <f t="shared" si="4"/>
        <v/>
      </c>
      <c r="AE39" s="32" t="str">
        <f t="shared" si="10"/>
        <v/>
      </c>
      <c r="AF39" s="33" t="str">
        <f t="shared" si="11"/>
        <v/>
      </c>
      <c r="AG39" s="34" t="str">
        <f t="shared" si="5"/>
        <v/>
      </c>
      <c r="AH39" s="34" t="str">
        <f t="shared" si="6"/>
        <v/>
      </c>
      <c r="AI39" s="77"/>
      <c r="AJ39" s="78" t="str">
        <f t="shared" si="7"/>
        <v/>
      </c>
      <c r="AK39" s="78" t="str">
        <f t="shared" si="0"/>
        <v/>
      </c>
      <c r="AL39" s="73" t="str">
        <f t="shared" si="1"/>
        <v/>
      </c>
      <c r="AM39" s="73" t="str">
        <f t="shared" si="2"/>
        <v/>
      </c>
    </row>
    <row r="40" spans="1:54" ht="15.75" thickBot="1">
      <c r="A40" s="2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54" t="str">
        <f t="shared" si="8"/>
        <v/>
      </c>
      <c r="AB40" s="32" t="str">
        <f t="shared" si="9"/>
        <v/>
      </c>
      <c r="AC40" s="32" t="str">
        <f t="shared" si="3"/>
        <v/>
      </c>
      <c r="AD40" s="32" t="str">
        <f t="shared" si="4"/>
        <v/>
      </c>
      <c r="AE40" s="32" t="str">
        <f t="shared" si="10"/>
        <v/>
      </c>
      <c r="AF40" s="33" t="str">
        <f t="shared" si="11"/>
        <v/>
      </c>
      <c r="AG40" s="34" t="str">
        <f t="shared" si="5"/>
        <v/>
      </c>
      <c r="AH40" s="34" t="str">
        <f t="shared" si="6"/>
        <v/>
      </c>
      <c r="AI40" s="77"/>
      <c r="AJ40" s="78" t="str">
        <f t="shared" si="7"/>
        <v/>
      </c>
      <c r="AK40" s="78" t="str">
        <f t="shared" ref="AK40:AK71" si="12">IF(SUM(B41:Z41)&gt;0,VLOOKUP(COUNT(B41:Z41),FACTORES,4,FALSE),"")</f>
        <v/>
      </c>
      <c r="AL40" s="73" t="str">
        <f t="shared" ref="AL40:AL71" si="13">IF(SUM(B41:Z41)&gt;0,VLOOKUP(COUNT(B41:Z41),FACTORES,7,FALSE),"")</f>
        <v/>
      </c>
      <c r="AM40" s="73" t="str">
        <f t="shared" ref="AM40:AM71" si="14">IF(SUM(B41:Z41)&gt;0,VLOOKUP(COUNT(B41:Z41),FACTORES,8,FALSE),"")</f>
        <v/>
      </c>
    </row>
    <row r="41" spans="1:54" ht="15.75" thickBot="1">
      <c r="A41" s="2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54" t="str">
        <f t="shared" ref="AA41:AA104" si="15">IF(SUM(B41:Z41)&gt;0,AVERAGE(B41:Z41),"")</f>
        <v/>
      </c>
      <c r="AB41" s="32" t="str">
        <f t="shared" ref="AB41:AB104" si="16">IF(SUM(B41:Z41)&gt;0,AVERAGE($AA$9:$AA$116),"")</f>
        <v/>
      </c>
      <c r="AC41" s="32" t="str">
        <f t="shared" ref="AC41:AC72" si="17">IF(SUM(B41:Z41)&gt;0,AB41+VLOOKUP(COUNT(B41:Z41),FACTORES,4,FALSE)*AF41,"")</f>
        <v/>
      </c>
      <c r="AD41" s="32" t="str">
        <f t="shared" ref="AD41:AD72" si="18">IF(SUM(B41:Z41)&gt;0,AB41-(VLOOKUP(COUNT(B41:Z41),FACTORES,4,FALSE)*AF41),"")</f>
        <v/>
      </c>
      <c r="AE41" s="32" t="str">
        <f t="shared" si="10"/>
        <v/>
      </c>
      <c r="AF41" s="33" t="str">
        <f t="shared" si="11"/>
        <v/>
      </c>
      <c r="AG41" s="34" t="str">
        <f t="shared" ref="AG41:AG72" si="19">IF(SUM(B41:Z41)&gt;0,VLOOKUP(COUNT(B41:Z41),FACTORES,7,FALSE)*AF41,"")</f>
        <v/>
      </c>
      <c r="AH41" s="34" t="str">
        <f t="shared" ref="AH41:AH72" si="20">IF(SUM(B41:Z41)&gt;0,VLOOKUP(COUNT(B41:Z41),FACTORES,6,FALSE)*AF41,"")</f>
        <v/>
      </c>
      <c r="AI41" s="77"/>
      <c r="AJ41" s="78" t="str">
        <f t="shared" si="7"/>
        <v/>
      </c>
      <c r="AK41" s="78" t="str">
        <f t="shared" si="12"/>
        <v/>
      </c>
      <c r="AL41" s="73" t="str">
        <f t="shared" si="13"/>
        <v/>
      </c>
      <c r="AM41" s="73" t="str">
        <f t="shared" si="14"/>
        <v/>
      </c>
    </row>
    <row r="42" spans="1:54" ht="15.75" thickBot="1">
      <c r="A42" s="2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54" t="str">
        <f t="shared" si="15"/>
        <v/>
      </c>
      <c r="AB42" s="32" t="str">
        <f t="shared" si="16"/>
        <v/>
      </c>
      <c r="AC42" s="32" t="str">
        <f t="shared" si="17"/>
        <v/>
      </c>
      <c r="AD42" s="32" t="str">
        <f t="shared" si="18"/>
        <v/>
      </c>
      <c r="AE42" s="32" t="str">
        <f t="shared" si="10"/>
        <v/>
      </c>
      <c r="AF42" s="33" t="str">
        <f t="shared" si="11"/>
        <v/>
      </c>
      <c r="AG42" s="34" t="str">
        <f t="shared" si="19"/>
        <v/>
      </c>
      <c r="AH42" s="34" t="str">
        <f t="shared" si="20"/>
        <v/>
      </c>
      <c r="AI42" s="77"/>
      <c r="AJ42" s="78" t="str">
        <f t="shared" si="7"/>
        <v/>
      </c>
      <c r="AK42" s="78" t="str">
        <f t="shared" si="12"/>
        <v/>
      </c>
      <c r="AL42" s="73" t="str">
        <f t="shared" si="13"/>
        <v/>
      </c>
      <c r="AM42" s="73" t="str">
        <f t="shared" si="14"/>
        <v/>
      </c>
    </row>
    <row r="43" spans="1:54" ht="15.75" thickBot="1">
      <c r="A43" s="2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54" t="str">
        <f t="shared" si="15"/>
        <v/>
      </c>
      <c r="AB43" s="32" t="str">
        <f t="shared" si="16"/>
        <v/>
      </c>
      <c r="AC43" s="32" t="str">
        <f t="shared" si="17"/>
        <v/>
      </c>
      <c r="AD43" s="32" t="str">
        <f t="shared" si="18"/>
        <v/>
      </c>
      <c r="AE43" s="32" t="str">
        <f t="shared" si="10"/>
        <v/>
      </c>
      <c r="AF43" s="33" t="str">
        <f t="shared" si="11"/>
        <v/>
      </c>
      <c r="AG43" s="34" t="str">
        <f t="shared" si="19"/>
        <v/>
      </c>
      <c r="AH43" s="34" t="str">
        <f t="shared" si="20"/>
        <v/>
      </c>
      <c r="AI43" s="77"/>
      <c r="AJ43" s="78" t="str">
        <f t="shared" si="7"/>
        <v/>
      </c>
      <c r="AK43" s="78" t="str">
        <f t="shared" si="12"/>
        <v/>
      </c>
      <c r="AL43" s="73" t="str">
        <f t="shared" si="13"/>
        <v/>
      </c>
      <c r="AM43" s="73" t="str">
        <f t="shared" si="14"/>
        <v/>
      </c>
    </row>
    <row r="44" spans="1:54" ht="15.75" thickBot="1">
      <c r="A44" s="2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54" t="str">
        <f t="shared" si="15"/>
        <v/>
      </c>
      <c r="AB44" s="32" t="str">
        <f t="shared" si="16"/>
        <v/>
      </c>
      <c r="AC44" s="32" t="str">
        <f t="shared" si="17"/>
        <v/>
      </c>
      <c r="AD44" s="32" t="str">
        <f t="shared" si="18"/>
        <v/>
      </c>
      <c r="AE44" s="32" t="str">
        <f t="shared" si="10"/>
        <v/>
      </c>
      <c r="AF44" s="33" t="str">
        <f t="shared" si="11"/>
        <v/>
      </c>
      <c r="AG44" s="34" t="str">
        <f t="shared" si="19"/>
        <v/>
      </c>
      <c r="AH44" s="34" t="str">
        <f t="shared" si="20"/>
        <v/>
      </c>
      <c r="AI44" s="77"/>
      <c r="AJ44" s="78" t="str">
        <f t="shared" si="7"/>
        <v/>
      </c>
      <c r="AK44" s="78" t="str">
        <f t="shared" si="12"/>
        <v/>
      </c>
      <c r="AL44" s="73" t="str">
        <f t="shared" si="13"/>
        <v/>
      </c>
      <c r="AM44" s="73" t="str">
        <f t="shared" si="14"/>
        <v/>
      </c>
    </row>
    <row r="45" spans="1:54" ht="15.75" thickBot="1">
      <c r="A45" s="2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54" t="str">
        <f t="shared" si="15"/>
        <v/>
      </c>
      <c r="AB45" s="32" t="str">
        <f t="shared" si="16"/>
        <v/>
      </c>
      <c r="AC45" s="32" t="str">
        <f t="shared" si="17"/>
        <v/>
      </c>
      <c r="AD45" s="32" t="str">
        <f t="shared" si="18"/>
        <v/>
      </c>
      <c r="AE45" s="32" t="str">
        <f t="shared" si="10"/>
        <v/>
      </c>
      <c r="AF45" s="33" t="str">
        <f t="shared" si="11"/>
        <v/>
      </c>
      <c r="AG45" s="34" t="str">
        <f t="shared" si="19"/>
        <v/>
      </c>
      <c r="AH45" s="34" t="str">
        <f t="shared" si="20"/>
        <v/>
      </c>
      <c r="AI45" s="77"/>
      <c r="AJ45" s="78" t="str">
        <f t="shared" si="7"/>
        <v/>
      </c>
      <c r="AK45" s="78" t="str">
        <f t="shared" si="12"/>
        <v/>
      </c>
      <c r="AL45" s="73" t="str">
        <f t="shared" si="13"/>
        <v/>
      </c>
      <c r="AM45" s="73" t="str">
        <f t="shared" si="14"/>
        <v/>
      </c>
    </row>
    <row r="46" spans="1:54" ht="15.75" thickBot="1">
      <c r="A46" s="2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54" t="str">
        <f t="shared" si="15"/>
        <v/>
      </c>
      <c r="AB46" s="32" t="str">
        <f t="shared" si="16"/>
        <v/>
      </c>
      <c r="AC46" s="32" t="str">
        <f t="shared" si="17"/>
        <v/>
      </c>
      <c r="AD46" s="32" t="str">
        <f t="shared" si="18"/>
        <v/>
      </c>
      <c r="AE46" s="32" t="str">
        <f t="shared" si="10"/>
        <v/>
      </c>
      <c r="AF46" s="33" t="str">
        <f t="shared" si="11"/>
        <v/>
      </c>
      <c r="AG46" s="34" t="str">
        <f t="shared" si="19"/>
        <v/>
      </c>
      <c r="AH46" s="34" t="str">
        <f t="shared" si="20"/>
        <v/>
      </c>
      <c r="AI46" s="77"/>
      <c r="AJ46" s="78" t="str">
        <f t="shared" si="7"/>
        <v/>
      </c>
      <c r="AK46" s="78" t="str">
        <f t="shared" si="12"/>
        <v/>
      </c>
      <c r="AL46" s="73" t="str">
        <f t="shared" si="13"/>
        <v/>
      </c>
      <c r="AM46" s="73" t="str">
        <f t="shared" si="14"/>
        <v/>
      </c>
    </row>
    <row r="47" spans="1:54" ht="15.75" thickBot="1">
      <c r="A47" s="2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54" t="str">
        <f t="shared" si="15"/>
        <v/>
      </c>
      <c r="AB47" s="32" t="str">
        <f t="shared" si="16"/>
        <v/>
      </c>
      <c r="AC47" s="32" t="str">
        <f t="shared" si="17"/>
        <v/>
      </c>
      <c r="AD47" s="32" t="str">
        <f t="shared" si="18"/>
        <v/>
      </c>
      <c r="AE47" s="32" t="str">
        <f t="shared" si="10"/>
        <v/>
      </c>
      <c r="AF47" s="33" t="str">
        <f t="shared" si="11"/>
        <v/>
      </c>
      <c r="AG47" s="34" t="str">
        <f t="shared" si="19"/>
        <v/>
      </c>
      <c r="AH47" s="34" t="str">
        <f t="shared" si="20"/>
        <v/>
      </c>
      <c r="AI47" s="77"/>
      <c r="AJ47" s="78" t="str">
        <f t="shared" si="7"/>
        <v/>
      </c>
      <c r="AK47" s="78" t="str">
        <f t="shared" si="12"/>
        <v/>
      </c>
      <c r="AL47" s="73" t="str">
        <f t="shared" si="13"/>
        <v/>
      </c>
      <c r="AM47" s="73" t="str">
        <f t="shared" si="14"/>
        <v/>
      </c>
    </row>
    <row r="48" spans="1:54" ht="15.75" thickBot="1">
      <c r="A48" s="2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54" t="str">
        <f t="shared" si="15"/>
        <v/>
      </c>
      <c r="AB48" s="32" t="str">
        <f t="shared" si="16"/>
        <v/>
      </c>
      <c r="AC48" s="32" t="str">
        <f t="shared" si="17"/>
        <v/>
      </c>
      <c r="AD48" s="32" t="str">
        <f t="shared" si="18"/>
        <v/>
      </c>
      <c r="AE48" s="32" t="str">
        <f t="shared" si="10"/>
        <v/>
      </c>
      <c r="AF48" s="33" t="str">
        <f t="shared" si="11"/>
        <v/>
      </c>
      <c r="AG48" s="34" t="str">
        <f t="shared" si="19"/>
        <v/>
      </c>
      <c r="AH48" s="34" t="str">
        <f t="shared" si="20"/>
        <v/>
      </c>
      <c r="AI48" s="77"/>
      <c r="AJ48" s="78" t="str">
        <f t="shared" si="7"/>
        <v/>
      </c>
      <c r="AK48" s="78" t="str">
        <f t="shared" si="12"/>
        <v/>
      </c>
      <c r="AL48" s="73" t="str">
        <f t="shared" si="13"/>
        <v/>
      </c>
      <c r="AM48" s="73" t="str">
        <f t="shared" si="14"/>
        <v/>
      </c>
    </row>
    <row r="49" spans="1:39" ht="15.75" thickBot="1">
      <c r="A49" s="2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54" t="str">
        <f t="shared" si="15"/>
        <v/>
      </c>
      <c r="AB49" s="32" t="str">
        <f t="shared" si="16"/>
        <v/>
      </c>
      <c r="AC49" s="32" t="str">
        <f t="shared" si="17"/>
        <v/>
      </c>
      <c r="AD49" s="32" t="str">
        <f t="shared" si="18"/>
        <v/>
      </c>
      <c r="AE49" s="32" t="str">
        <f t="shared" si="10"/>
        <v/>
      </c>
      <c r="AF49" s="33" t="str">
        <f t="shared" si="11"/>
        <v/>
      </c>
      <c r="AG49" s="34" t="str">
        <f t="shared" si="19"/>
        <v/>
      </c>
      <c r="AH49" s="34" t="str">
        <f t="shared" si="20"/>
        <v/>
      </c>
      <c r="AI49" s="77"/>
      <c r="AJ49" s="78" t="str">
        <f t="shared" si="7"/>
        <v/>
      </c>
      <c r="AK49" s="78" t="str">
        <f t="shared" si="12"/>
        <v/>
      </c>
      <c r="AL49" s="73" t="str">
        <f t="shared" si="13"/>
        <v/>
      </c>
      <c r="AM49" s="73" t="str">
        <f t="shared" si="14"/>
        <v/>
      </c>
    </row>
    <row r="50" spans="1:39" ht="15.75" thickBot="1">
      <c r="A50" s="2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54" t="str">
        <f t="shared" si="15"/>
        <v/>
      </c>
      <c r="AB50" s="32" t="str">
        <f t="shared" si="16"/>
        <v/>
      </c>
      <c r="AC50" s="32" t="str">
        <f t="shared" si="17"/>
        <v/>
      </c>
      <c r="AD50" s="32" t="str">
        <f t="shared" si="18"/>
        <v/>
      </c>
      <c r="AE50" s="32" t="str">
        <f t="shared" si="10"/>
        <v/>
      </c>
      <c r="AF50" s="33" t="str">
        <f t="shared" si="11"/>
        <v/>
      </c>
      <c r="AG50" s="34" t="str">
        <f t="shared" si="19"/>
        <v/>
      </c>
      <c r="AH50" s="34" t="str">
        <f t="shared" si="20"/>
        <v/>
      </c>
      <c r="AI50" s="77"/>
      <c r="AJ50" s="78" t="str">
        <f t="shared" si="7"/>
        <v/>
      </c>
      <c r="AK50" s="78" t="str">
        <f t="shared" si="12"/>
        <v/>
      </c>
      <c r="AL50" s="73" t="str">
        <f t="shared" si="13"/>
        <v/>
      </c>
      <c r="AM50" s="73" t="str">
        <f t="shared" si="14"/>
        <v/>
      </c>
    </row>
    <row r="51" spans="1:39" ht="15.75" thickBot="1">
      <c r="A51" s="2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54" t="str">
        <f t="shared" si="15"/>
        <v/>
      </c>
      <c r="AB51" s="32" t="str">
        <f t="shared" si="16"/>
        <v/>
      </c>
      <c r="AC51" s="32" t="str">
        <f t="shared" si="17"/>
        <v/>
      </c>
      <c r="AD51" s="32" t="str">
        <f t="shared" si="18"/>
        <v/>
      </c>
      <c r="AE51" s="32" t="str">
        <f t="shared" si="10"/>
        <v/>
      </c>
      <c r="AF51" s="33" t="str">
        <f t="shared" si="11"/>
        <v/>
      </c>
      <c r="AG51" s="34" t="str">
        <f t="shared" si="19"/>
        <v/>
      </c>
      <c r="AH51" s="34" t="str">
        <f t="shared" si="20"/>
        <v/>
      </c>
      <c r="AI51" s="77"/>
      <c r="AJ51" s="78" t="str">
        <f t="shared" si="7"/>
        <v/>
      </c>
      <c r="AK51" s="78" t="str">
        <f t="shared" si="12"/>
        <v/>
      </c>
      <c r="AL51" s="73" t="str">
        <f t="shared" si="13"/>
        <v/>
      </c>
      <c r="AM51" s="73" t="str">
        <f t="shared" si="14"/>
        <v/>
      </c>
    </row>
    <row r="52" spans="1:39" ht="15.75" thickBot="1">
      <c r="A52" s="2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54" t="str">
        <f t="shared" si="15"/>
        <v/>
      </c>
      <c r="AB52" s="32" t="str">
        <f t="shared" si="16"/>
        <v/>
      </c>
      <c r="AC52" s="32" t="str">
        <f t="shared" si="17"/>
        <v/>
      </c>
      <c r="AD52" s="32" t="str">
        <f t="shared" si="18"/>
        <v/>
      </c>
      <c r="AE52" s="32" t="str">
        <f t="shared" si="10"/>
        <v/>
      </c>
      <c r="AF52" s="33" t="str">
        <f t="shared" si="11"/>
        <v/>
      </c>
      <c r="AG52" s="34" t="str">
        <f t="shared" si="19"/>
        <v/>
      </c>
      <c r="AH52" s="34" t="str">
        <f t="shared" si="20"/>
        <v/>
      </c>
      <c r="AI52" s="77"/>
      <c r="AJ52" s="78" t="str">
        <f t="shared" si="7"/>
        <v/>
      </c>
      <c r="AK52" s="78" t="str">
        <f t="shared" si="12"/>
        <v/>
      </c>
      <c r="AL52" s="73" t="str">
        <f t="shared" si="13"/>
        <v/>
      </c>
      <c r="AM52" s="73" t="str">
        <f t="shared" si="14"/>
        <v/>
      </c>
    </row>
    <row r="53" spans="1:39" ht="15.75" thickBot="1">
      <c r="A53" s="2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54" t="str">
        <f t="shared" si="15"/>
        <v/>
      </c>
      <c r="AB53" s="32" t="str">
        <f t="shared" si="16"/>
        <v/>
      </c>
      <c r="AC53" s="32" t="str">
        <f t="shared" si="17"/>
        <v/>
      </c>
      <c r="AD53" s="32" t="str">
        <f t="shared" si="18"/>
        <v/>
      </c>
      <c r="AE53" s="32" t="str">
        <f t="shared" si="10"/>
        <v/>
      </c>
      <c r="AF53" s="33" t="str">
        <f t="shared" si="11"/>
        <v/>
      </c>
      <c r="AG53" s="34" t="str">
        <f t="shared" si="19"/>
        <v/>
      </c>
      <c r="AH53" s="34" t="str">
        <f t="shared" si="20"/>
        <v/>
      </c>
      <c r="AI53" s="77"/>
      <c r="AJ53" s="78" t="str">
        <f t="shared" si="7"/>
        <v/>
      </c>
      <c r="AK53" s="78" t="str">
        <f t="shared" si="12"/>
        <v/>
      </c>
      <c r="AL53" s="73" t="str">
        <f t="shared" si="13"/>
        <v/>
      </c>
      <c r="AM53" s="73" t="str">
        <f t="shared" si="14"/>
        <v/>
      </c>
    </row>
    <row r="54" spans="1:39" ht="15.75" thickBot="1">
      <c r="A54" s="2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54" t="str">
        <f t="shared" si="15"/>
        <v/>
      </c>
      <c r="AB54" s="32" t="str">
        <f t="shared" si="16"/>
        <v/>
      </c>
      <c r="AC54" s="32" t="str">
        <f t="shared" si="17"/>
        <v/>
      </c>
      <c r="AD54" s="32" t="str">
        <f t="shared" si="18"/>
        <v/>
      </c>
      <c r="AE54" s="32" t="str">
        <f t="shared" si="10"/>
        <v/>
      </c>
      <c r="AF54" s="33" t="str">
        <f t="shared" si="11"/>
        <v/>
      </c>
      <c r="AG54" s="34" t="str">
        <f t="shared" si="19"/>
        <v/>
      </c>
      <c r="AH54" s="34" t="str">
        <f t="shared" si="20"/>
        <v/>
      </c>
      <c r="AI54" s="77"/>
      <c r="AJ54" s="78" t="str">
        <f t="shared" si="7"/>
        <v/>
      </c>
      <c r="AK54" s="78" t="str">
        <f t="shared" si="12"/>
        <v/>
      </c>
      <c r="AL54" s="73" t="str">
        <f t="shared" si="13"/>
        <v/>
      </c>
      <c r="AM54" s="73" t="str">
        <f t="shared" si="14"/>
        <v/>
      </c>
    </row>
    <row r="55" spans="1:39" ht="15.75" thickBot="1">
      <c r="A55" s="2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54" t="str">
        <f t="shared" si="15"/>
        <v/>
      </c>
      <c r="AB55" s="32" t="str">
        <f t="shared" si="16"/>
        <v/>
      </c>
      <c r="AC55" s="32" t="str">
        <f t="shared" si="17"/>
        <v/>
      </c>
      <c r="AD55" s="32" t="str">
        <f t="shared" si="18"/>
        <v/>
      </c>
      <c r="AE55" s="32" t="str">
        <f t="shared" si="10"/>
        <v/>
      </c>
      <c r="AF55" s="33" t="str">
        <f t="shared" si="11"/>
        <v/>
      </c>
      <c r="AG55" s="34" t="str">
        <f t="shared" si="19"/>
        <v/>
      </c>
      <c r="AH55" s="34" t="str">
        <f t="shared" si="20"/>
        <v/>
      </c>
      <c r="AI55" s="77"/>
      <c r="AJ55" s="78" t="str">
        <f t="shared" si="7"/>
        <v/>
      </c>
      <c r="AK55" s="78" t="str">
        <f t="shared" si="12"/>
        <v/>
      </c>
      <c r="AL55" s="73" t="str">
        <f t="shared" si="13"/>
        <v/>
      </c>
      <c r="AM55" s="73" t="str">
        <f t="shared" si="14"/>
        <v/>
      </c>
    </row>
    <row r="56" spans="1:39" ht="15.75" thickBot="1">
      <c r="A56" s="2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54" t="str">
        <f t="shared" si="15"/>
        <v/>
      </c>
      <c r="AB56" s="32" t="str">
        <f t="shared" si="16"/>
        <v/>
      </c>
      <c r="AC56" s="32" t="str">
        <f t="shared" si="17"/>
        <v/>
      </c>
      <c r="AD56" s="32" t="str">
        <f t="shared" si="18"/>
        <v/>
      </c>
      <c r="AE56" s="32" t="str">
        <f t="shared" si="10"/>
        <v/>
      </c>
      <c r="AF56" s="33" t="str">
        <f t="shared" si="11"/>
        <v/>
      </c>
      <c r="AG56" s="34" t="str">
        <f t="shared" si="19"/>
        <v/>
      </c>
      <c r="AH56" s="34" t="str">
        <f t="shared" si="20"/>
        <v/>
      </c>
      <c r="AI56" s="77"/>
      <c r="AJ56" s="78" t="str">
        <f t="shared" si="7"/>
        <v/>
      </c>
      <c r="AK56" s="78" t="str">
        <f t="shared" si="12"/>
        <v/>
      </c>
      <c r="AL56" s="73" t="str">
        <f t="shared" si="13"/>
        <v/>
      </c>
      <c r="AM56" s="73" t="str">
        <f t="shared" si="14"/>
        <v/>
      </c>
    </row>
    <row r="57" spans="1:39" ht="15.75" thickBot="1">
      <c r="A57" s="2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54" t="str">
        <f t="shared" si="15"/>
        <v/>
      </c>
      <c r="AB57" s="32" t="str">
        <f t="shared" si="16"/>
        <v/>
      </c>
      <c r="AC57" s="32" t="str">
        <f t="shared" si="17"/>
        <v/>
      </c>
      <c r="AD57" s="32" t="str">
        <f t="shared" si="18"/>
        <v/>
      </c>
      <c r="AE57" s="32" t="str">
        <f t="shared" si="10"/>
        <v/>
      </c>
      <c r="AF57" s="33" t="str">
        <f t="shared" si="11"/>
        <v/>
      </c>
      <c r="AG57" s="34" t="str">
        <f t="shared" si="19"/>
        <v/>
      </c>
      <c r="AH57" s="34" t="str">
        <f t="shared" si="20"/>
        <v/>
      </c>
      <c r="AI57" s="77"/>
      <c r="AJ57" s="78" t="str">
        <f t="shared" si="7"/>
        <v/>
      </c>
      <c r="AK57" s="78" t="str">
        <f t="shared" si="12"/>
        <v/>
      </c>
      <c r="AL57" s="73" t="str">
        <f t="shared" si="13"/>
        <v/>
      </c>
      <c r="AM57" s="73" t="str">
        <f t="shared" si="14"/>
        <v/>
      </c>
    </row>
    <row r="58" spans="1:39" ht="15.75" thickBot="1">
      <c r="A58" s="2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54" t="str">
        <f t="shared" si="15"/>
        <v/>
      </c>
      <c r="AB58" s="32" t="str">
        <f t="shared" si="16"/>
        <v/>
      </c>
      <c r="AC58" s="32" t="str">
        <f t="shared" si="17"/>
        <v/>
      </c>
      <c r="AD58" s="32" t="str">
        <f t="shared" si="18"/>
        <v/>
      </c>
      <c r="AE58" s="32" t="str">
        <f t="shared" si="10"/>
        <v/>
      </c>
      <c r="AF58" s="33" t="str">
        <f t="shared" si="11"/>
        <v/>
      </c>
      <c r="AG58" s="34" t="str">
        <f t="shared" si="19"/>
        <v/>
      </c>
      <c r="AH58" s="34" t="str">
        <f t="shared" si="20"/>
        <v/>
      </c>
      <c r="AI58" s="77"/>
      <c r="AJ58" s="78" t="str">
        <f t="shared" si="7"/>
        <v/>
      </c>
      <c r="AK58" s="78" t="str">
        <f t="shared" si="12"/>
        <v/>
      </c>
      <c r="AL58" s="73" t="str">
        <f t="shared" si="13"/>
        <v/>
      </c>
      <c r="AM58" s="73" t="str">
        <f t="shared" si="14"/>
        <v/>
      </c>
    </row>
    <row r="59" spans="1:39" ht="15.75" thickBot="1">
      <c r="A59" s="2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54" t="str">
        <f t="shared" si="15"/>
        <v/>
      </c>
      <c r="AB59" s="32" t="str">
        <f t="shared" si="16"/>
        <v/>
      </c>
      <c r="AC59" s="32" t="str">
        <f t="shared" si="17"/>
        <v/>
      </c>
      <c r="AD59" s="32" t="str">
        <f t="shared" si="18"/>
        <v/>
      </c>
      <c r="AE59" s="32" t="str">
        <f t="shared" si="10"/>
        <v/>
      </c>
      <c r="AF59" s="33" t="str">
        <f t="shared" si="11"/>
        <v/>
      </c>
      <c r="AG59" s="34" t="str">
        <f t="shared" si="19"/>
        <v/>
      </c>
      <c r="AH59" s="34" t="str">
        <f t="shared" si="20"/>
        <v/>
      </c>
      <c r="AI59" s="77"/>
      <c r="AJ59" s="78" t="str">
        <f t="shared" si="7"/>
        <v/>
      </c>
      <c r="AK59" s="78" t="str">
        <f t="shared" si="12"/>
        <v/>
      </c>
      <c r="AL59" s="73" t="str">
        <f t="shared" si="13"/>
        <v/>
      </c>
      <c r="AM59" s="73" t="str">
        <f t="shared" si="14"/>
        <v/>
      </c>
    </row>
    <row r="60" spans="1:39" ht="15.75" thickBot="1">
      <c r="A60" s="2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54" t="str">
        <f t="shared" si="15"/>
        <v/>
      </c>
      <c r="AB60" s="32" t="str">
        <f t="shared" si="16"/>
        <v/>
      </c>
      <c r="AC60" s="32" t="str">
        <f t="shared" si="17"/>
        <v/>
      </c>
      <c r="AD60" s="32" t="str">
        <f t="shared" si="18"/>
        <v/>
      </c>
      <c r="AE60" s="32" t="str">
        <f t="shared" si="10"/>
        <v/>
      </c>
      <c r="AF60" s="33" t="str">
        <f t="shared" si="11"/>
        <v/>
      </c>
      <c r="AG60" s="34" t="str">
        <f t="shared" si="19"/>
        <v/>
      </c>
      <c r="AH60" s="34" t="str">
        <f t="shared" si="20"/>
        <v/>
      </c>
      <c r="AI60" s="77"/>
      <c r="AJ60" s="78" t="str">
        <f t="shared" si="7"/>
        <v/>
      </c>
      <c r="AK60" s="78" t="str">
        <f t="shared" si="12"/>
        <v/>
      </c>
      <c r="AL60" s="73" t="str">
        <f t="shared" si="13"/>
        <v/>
      </c>
      <c r="AM60" s="73" t="str">
        <f t="shared" si="14"/>
        <v/>
      </c>
    </row>
    <row r="61" spans="1:39" ht="15.75" thickBot="1">
      <c r="A61" s="2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54" t="str">
        <f t="shared" si="15"/>
        <v/>
      </c>
      <c r="AB61" s="32" t="str">
        <f t="shared" si="16"/>
        <v/>
      </c>
      <c r="AC61" s="32" t="str">
        <f t="shared" si="17"/>
        <v/>
      </c>
      <c r="AD61" s="32" t="str">
        <f t="shared" si="18"/>
        <v/>
      </c>
      <c r="AE61" s="32" t="str">
        <f t="shared" si="10"/>
        <v/>
      </c>
      <c r="AF61" s="33" t="str">
        <f t="shared" si="11"/>
        <v/>
      </c>
      <c r="AG61" s="34" t="str">
        <f t="shared" si="19"/>
        <v/>
      </c>
      <c r="AH61" s="34" t="str">
        <f t="shared" si="20"/>
        <v/>
      </c>
      <c r="AI61" s="77"/>
      <c r="AJ61" s="78" t="str">
        <f t="shared" si="7"/>
        <v/>
      </c>
      <c r="AK61" s="78" t="str">
        <f t="shared" si="12"/>
        <v/>
      </c>
      <c r="AL61" s="73" t="str">
        <f t="shared" si="13"/>
        <v/>
      </c>
      <c r="AM61" s="73" t="str">
        <f t="shared" si="14"/>
        <v/>
      </c>
    </row>
    <row r="62" spans="1:39" ht="15.75" thickBot="1">
      <c r="A62" s="2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54" t="str">
        <f t="shared" si="15"/>
        <v/>
      </c>
      <c r="AB62" s="32" t="str">
        <f t="shared" si="16"/>
        <v/>
      </c>
      <c r="AC62" s="32" t="str">
        <f t="shared" si="17"/>
        <v/>
      </c>
      <c r="AD62" s="32" t="str">
        <f t="shared" si="18"/>
        <v/>
      </c>
      <c r="AE62" s="32" t="str">
        <f t="shared" si="10"/>
        <v/>
      </c>
      <c r="AF62" s="33" t="str">
        <f t="shared" si="11"/>
        <v/>
      </c>
      <c r="AG62" s="34" t="str">
        <f t="shared" si="19"/>
        <v/>
      </c>
      <c r="AH62" s="34" t="str">
        <f t="shared" si="20"/>
        <v/>
      </c>
      <c r="AI62" s="77"/>
      <c r="AJ62" s="78" t="str">
        <f t="shared" si="7"/>
        <v/>
      </c>
      <c r="AK62" s="78" t="str">
        <f t="shared" si="12"/>
        <v/>
      </c>
      <c r="AL62" s="73" t="str">
        <f t="shared" si="13"/>
        <v/>
      </c>
      <c r="AM62" s="73" t="str">
        <f t="shared" si="14"/>
        <v/>
      </c>
    </row>
    <row r="63" spans="1:39" ht="15.75" thickBot="1">
      <c r="A63" s="2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54" t="str">
        <f t="shared" si="15"/>
        <v/>
      </c>
      <c r="AB63" s="32" t="str">
        <f t="shared" si="16"/>
        <v/>
      </c>
      <c r="AC63" s="32" t="str">
        <f t="shared" si="17"/>
        <v/>
      </c>
      <c r="AD63" s="32" t="str">
        <f t="shared" si="18"/>
        <v/>
      </c>
      <c r="AE63" s="32" t="str">
        <f t="shared" si="10"/>
        <v/>
      </c>
      <c r="AF63" s="33" t="str">
        <f t="shared" si="11"/>
        <v/>
      </c>
      <c r="AG63" s="34" t="str">
        <f t="shared" si="19"/>
        <v/>
      </c>
      <c r="AH63" s="34" t="str">
        <f t="shared" si="20"/>
        <v/>
      </c>
      <c r="AI63" s="77"/>
      <c r="AJ63" s="78" t="str">
        <f t="shared" si="7"/>
        <v/>
      </c>
      <c r="AK63" s="78" t="str">
        <f t="shared" si="12"/>
        <v/>
      </c>
      <c r="AL63" s="73" t="str">
        <f t="shared" si="13"/>
        <v/>
      </c>
      <c r="AM63" s="73" t="str">
        <f t="shared" si="14"/>
        <v/>
      </c>
    </row>
    <row r="64" spans="1:39" ht="15.75" thickBot="1">
      <c r="A64" s="2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54" t="str">
        <f t="shared" si="15"/>
        <v/>
      </c>
      <c r="AB64" s="32" t="str">
        <f t="shared" si="16"/>
        <v/>
      </c>
      <c r="AC64" s="32" t="str">
        <f t="shared" si="17"/>
        <v/>
      </c>
      <c r="AD64" s="32" t="str">
        <f t="shared" si="18"/>
        <v/>
      </c>
      <c r="AE64" s="32" t="str">
        <f t="shared" si="10"/>
        <v/>
      </c>
      <c r="AF64" s="33" t="str">
        <f t="shared" si="11"/>
        <v/>
      </c>
      <c r="AG64" s="34" t="str">
        <f t="shared" si="19"/>
        <v/>
      </c>
      <c r="AH64" s="34" t="str">
        <f t="shared" si="20"/>
        <v/>
      </c>
      <c r="AI64" s="77"/>
      <c r="AJ64" s="78" t="str">
        <f t="shared" si="7"/>
        <v/>
      </c>
      <c r="AK64" s="78" t="str">
        <f t="shared" si="12"/>
        <v/>
      </c>
      <c r="AL64" s="73" t="str">
        <f t="shared" si="13"/>
        <v/>
      </c>
      <c r="AM64" s="73" t="str">
        <f t="shared" si="14"/>
        <v/>
      </c>
    </row>
    <row r="65" spans="1:39" ht="15.75" thickBot="1">
      <c r="A65" s="2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54" t="str">
        <f t="shared" si="15"/>
        <v/>
      </c>
      <c r="AB65" s="32" t="str">
        <f t="shared" si="16"/>
        <v/>
      </c>
      <c r="AC65" s="32" t="str">
        <f t="shared" si="17"/>
        <v/>
      </c>
      <c r="AD65" s="32" t="str">
        <f t="shared" si="18"/>
        <v/>
      </c>
      <c r="AE65" s="32" t="str">
        <f t="shared" si="10"/>
        <v/>
      </c>
      <c r="AF65" s="33" t="str">
        <f t="shared" si="11"/>
        <v/>
      </c>
      <c r="AG65" s="34" t="str">
        <f t="shared" si="19"/>
        <v/>
      </c>
      <c r="AH65" s="34" t="str">
        <f t="shared" si="20"/>
        <v/>
      </c>
      <c r="AI65" s="77"/>
      <c r="AJ65" s="78" t="str">
        <f t="shared" si="7"/>
        <v/>
      </c>
      <c r="AK65" s="78" t="str">
        <f t="shared" si="12"/>
        <v/>
      </c>
      <c r="AL65" s="73" t="str">
        <f t="shared" si="13"/>
        <v/>
      </c>
      <c r="AM65" s="73" t="str">
        <f t="shared" si="14"/>
        <v/>
      </c>
    </row>
    <row r="66" spans="1:39" ht="15.75" thickBot="1">
      <c r="A66" s="2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54" t="str">
        <f t="shared" si="15"/>
        <v/>
      </c>
      <c r="AB66" s="32" t="str">
        <f t="shared" si="16"/>
        <v/>
      </c>
      <c r="AC66" s="32" t="str">
        <f t="shared" si="17"/>
        <v/>
      </c>
      <c r="AD66" s="32" t="str">
        <f t="shared" si="18"/>
        <v/>
      </c>
      <c r="AE66" s="32" t="str">
        <f t="shared" si="10"/>
        <v/>
      </c>
      <c r="AF66" s="33" t="str">
        <f t="shared" si="11"/>
        <v/>
      </c>
      <c r="AG66" s="34" t="str">
        <f t="shared" si="19"/>
        <v/>
      </c>
      <c r="AH66" s="34" t="str">
        <f t="shared" si="20"/>
        <v/>
      </c>
      <c r="AI66" s="77"/>
      <c r="AJ66" s="78" t="str">
        <f t="shared" si="7"/>
        <v/>
      </c>
      <c r="AK66" s="78" t="str">
        <f t="shared" si="12"/>
        <v/>
      </c>
      <c r="AL66" s="73" t="str">
        <f t="shared" si="13"/>
        <v/>
      </c>
      <c r="AM66" s="73" t="str">
        <f t="shared" si="14"/>
        <v/>
      </c>
    </row>
    <row r="67" spans="1:39" ht="15.75" thickBot="1">
      <c r="A67" s="2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54" t="str">
        <f t="shared" si="15"/>
        <v/>
      </c>
      <c r="AB67" s="32" t="str">
        <f t="shared" si="16"/>
        <v/>
      </c>
      <c r="AC67" s="32" t="str">
        <f t="shared" si="17"/>
        <v/>
      </c>
      <c r="AD67" s="32" t="str">
        <f t="shared" si="18"/>
        <v/>
      </c>
      <c r="AE67" s="32" t="str">
        <f t="shared" si="10"/>
        <v/>
      </c>
      <c r="AF67" s="33" t="str">
        <f t="shared" si="11"/>
        <v/>
      </c>
      <c r="AG67" s="34" t="str">
        <f t="shared" si="19"/>
        <v/>
      </c>
      <c r="AH67" s="34" t="str">
        <f t="shared" si="20"/>
        <v/>
      </c>
      <c r="AI67" s="77"/>
      <c r="AJ67" s="78" t="str">
        <f t="shared" si="7"/>
        <v/>
      </c>
      <c r="AK67" s="78" t="str">
        <f t="shared" si="12"/>
        <v/>
      </c>
      <c r="AL67" s="73" t="str">
        <f t="shared" si="13"/>
        <v/>
      </c>
      <c r="AM67" s="73" t="str">
        <f t="shared" si="14"/>
        <v/>
      </c>
    </row>
    <row r="68" spans="1:39" ht="15.75" thickBot="1">
      <c r="A68" s="2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54" t="str">
        <f t="shared" si="15"/>
        <v/>
      </c>
      <c r="AB68" s="32" t="str">
        <f t="shared" si="16"/>
        <v/>
      </c>
      <c r="AC68" s="32" t="str">
        <f t="shared" si="17"/>
        <v/>
      </c>
      <c r="AD68" s="32" t="str">
        <f t="shared" si="18"/>
        <v/>
      </c>
      <c r="AE68" s="32" t="str">
        <f t="shared" si="10"/>
        <v/>
      </c>
      <c r="AF68" s="33" t="str">
        <f t="shared" si="11"/>
        <v/>
      </c>
      <c r="AG68" s="34" t="str">
        <f t="shared" si="19"/>
        <v/>
      </c>
      <c r="AH68" s="34" t="str">
        <f t="shared" si="20"/>
        <v/>
      </c>
      <c r="AI68" s="77"/>
      <c r="AJ68" s="78" t="str">
        <f t="shared" si="7"/>
        <v/>
      </c>
      <c r="AK68" s="78" t="str">
        <f t="shared" si="12"/>
        <v/>
      </c>
      <c r="AL68" s="73" t="str">
        <f t="shared" si="13"/>
        <v/>
      </c>
      <c r="AM68" s="73" t="str">
        <f t="shared" si="14"/>
        <v/>
      </c>
    </row>
    <row r="69" spans="1:39" ht="15.75" thickBot="1">
      <c r="A69" s="2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54" t="str">
        <f t="shared" si="15"/>
        <v/>
      </c>
      <c r="AB69" s="32" t="str">
        <f t="shared" si="16"/>
        <v/>
      </c>
      <c r="AC69" s="32" t="str">
        <f t="shared" si="17"/>
        <v/>
      </c>
      <c r="AD69" s="32" t="str">
        <f t="shared" si="18"/>
        <v/>
      </c>
      <c r="AE69" s="32" t="str">
        <f t="shared" si="10"/>
        <v/>
      </c>
      <c r="AF69" s="33" t="str">
        <f t="shared" si="11"/>
        <v/>
      </c>
      <c r="AG69" s="34" t="str">
        <f t="shared" si="19"/>
        <v/>
      </c>
      <c r="AH69" s="34" t="str">
        <f t="shared" si="20"/>
        <v/>
      </c>
      <c r="AI69" s="77"/>
      <c r="AJ69" s="78" t="str">
        <f t="shared" si="7"/>
        <v/>
      </c>
      <c r="AK69" s="78" t="str">
        <f t="shared" si="12"/>
        <v/>
      </c>
      <c r="AL69" s="73" t="str">
        <f t="shared" si="13"/>
        <v/>
      </c>
      <c r="AM69" s="73" t="str">
        <f t="shared" si="14"/>
        <v/>
      </c>
    </row>
    <row r="70" spans="1:39" ht="15.75" thickBot="1">
      <c r="A70" s="2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54" t="str">
        <f t="shared" si="15"/>
        <v/>
      </c>
      <c r="AB70" s="32" t="str">
        <f t="shared" si="16"/>
        <v/>
      </c>
      <c r="AC70" s="32" t="str">
        <f t="shared" si="17"/>
        <v/>
      </c>
      <c r="AD70" s="32" t="str">
        <f t="shared" si="18"/>
        <v/>
      </c>
      <c r="AE70" s="32" t="str">
        <f t="shared" si="10"/>
        <v/>
      </c>
      <c r="AF70" s="33" t="str">
        <f t="shared" si="11"/>
        <v/>
      </c>
      <c r="AG70" s="34" t="str">
        <f t="shared" si="19"/>
        <v/>
      </c>
      <c r="AH70" s="34" t="str">
        <f t="shared" si="20"/>
        <v/>
      </c>
      <c r="AI70" s="77"/>
      <c r="AJ70" s="78" t="str">
        <f t="shared" si="7"/>
        <v/>
      </c>
      <c r="AK70" s="78" t="str">
        <f t="shared" si="12"/>
        <v/>
      </c>
      <c r="AL70" s="73" t="str">
        <f t="shared" si="13"/>
        <v/>
      </c>
      <c r="AM70" s="73" t="str">
        <f t="shared" si="14"/>
        <v/>
      </c>
    </row>
    <row r="71" spans="1:39" ht="15.75" thickBot="1">
      <c r="A71" s="2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54" t="str">
        <f t="shared" si="15"/>
        <v/>
      </c>
      <c r="AB71" s="32" t="str">
        <f t="shared" si="16"/>
        <v/>
      </c>
      <c r="AC71" s="32" t="str">
        <f t="shared" si="17"/>
        <v/>
      </c>
      <c r="AD71" s="32" t="str">
        <f t="shared" si="18"/>
        <v/>
      </c>
      <c r="AE71" s="32" t="str">
        <f t="shared" si="10"/>
        <v/>
      </c>
      <c r="AF71" s="33" t="str">
        <f t="shared" si="11"/>
        <v/>
      </c>
      <c r="AG71" s="34" t="str">
        <f t="shared" si="19"/>
        <v/>
      </c>
      <c r="AH71" s="34" t="str">
        <f t="shared" si="20"/>
        <v/>
      </c>
      <c r="AI71" s="77"/>
      <c r="AJ71" s="78" t="str">
        <f t="shared" si="7"/>
        <v/>
      </c>
      <c r="AK71" s="78" t="str">
        <f t="shared" si="12"/>
        <v/>
      </c>
      <c r="AL71" s="73" t="str">
        <f t="shared" si="13"/>
        <v/>
      </c>
      <c r="AM71" s="73" t="str">
        <f t="shared" si="14"/>
        <v/>
      </c>
    </row>
    <row r="72" spans="1:39" ht="15.75" thickBot="1">
      <c r="A72" s="2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54" t="str">
        <f t="shared" si="15"/>
        <v/>
      </c>
      <c r="AB72" s="32" t="str">
        <f t="shared" si="16"/>
        <v/>
      </c>
      <c r="AC72" s="32" t="str">
        <f t="shared" si="17"/>
        <v/>
      </c>
      <c r="AD72" s="32" t="str">
        <f t="shared" si="18"/>
        <v/>
      </c>
      <c r="AE72" s="32" t="str">
        <f t="shared" si="10"/>
        <v/>
      </c>
      <c r="AF72" s="33" t="str">
        <f t="shared" si="11"/>
        <v/>
      </c>
      <c r="AG72" s="34" t="str">
        <f t="shared" si="19"/>
        <v/>
      </c>
      <c r="AH72" s="34" t="str">
        <f t="shared" si="20"/>
        <v/>
      </c>
      <c r="AI72" s="77"/>
      <c r="AJ72" s="78" t="str">
        <f t="shared" si="7"/>
        <v/>
      </c>
      <c r="AK72" s="78" t="str">
        <f t="shared" ref="AK72:AK103" si="21">IF(SUM(B73:Z73)&gt;0,VLOOKUP(COUNT(B73:Z73),FACTORES,4,FALSE),"")</f>
        <v/>
      </c>
      <c r="AL72" s="73" t="str">
        <f t="shared" ref="AL72:AL103" si="22">IF(SUM(B73:Z73)&gt;0,VLOOKUP(COUNT(B73:Z73),FACTORES,7,FALSE),"")</f>
        <v/>
      </c>
      <c r="AM72" s="73" t="str">
        <f t="shared" ref="AM72:AM103" si="23">IF(SUM(B73:Z73)&gt;0,VLOOKUP(COUNT(B73:Z73),FACTORES,8,FALSE),"")</f>
        <v/>
      </c>
    </row>
    <row r="73" spans="1:39" ht="15.75" thickBot="1">
      <c r="A73" s="2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54" t="str">
        <f t="shared" si="15"/>
        <v/>
      </c>
      <c r="AB73" s="32" t="str">
        <f t="shared" si="16"/>
        <v/>
      </c>
      <c r="AC73" s="32" t="str">
        <f t="shared" ref="AC73:AC104" si="24">IF(SUM(B73:Z73)&gt;0,AB73+VLOOKUP(COUNT(B73:Z73),FACTORES,4,FALSE)*AF73,"")</f>
        <v/>
      </c>
      <c r="AD73" s="32" t="str">
        <f t="shared" ref="AD73:AD104" si="25">IF(SUM(B73:Z73)&gt;0,AB73-(VLOOKUP(COUNT(B73:Z73),FACTORES,4,FALSE)*AF73),"")</f>
        <v/>
      </c>
      <c r="AE73" s="32" t="str">
        <f t="shared" si="10"/>
        <v/>
      </c>
      <c r="AF73" s="33" t="str">
        <f t="shared" si="11"/>
        <v/>
      </c>
      <c r="AG73" s="34" t="str">
        <f t="shared" ref="AG73:AG104" si="26">IF(SUM(B73:Z73)&gt;0,VLOOKUP(COUNT(B73:Z73),FACTORES,7,FALSE)*AF73,"")</f>
        <v/>
      </c>
      <c r="AH73" s="34" t="str">
        <f t="shared" ref="AH73:AH104" si="27">IF(SUM(B73:Z73)&gt;0,VLOOKUP(COUNT(B73:Z73),FACTORES,6,FALSE)*AF73,"")</f>
        <v/>
      </c>
      <c r="AI73" s="77"/>
      <c r="AJ73" s="78" t="str">
        <f t="shared" ref="AJ73:AJ116" si="28">IF(SUM(B74:Z74)&gt;0,COUNT(B74:Z74),"")</f>
        <v/>
      </c>
      <c r="AK73" s="78" t="str">
        <f t="shared" si="21"/>
        <v/>
      </c>
      <c r="AL73" s="73" t="str">
        <f t="shared" si="22"/>
        <v/>
      </c>
      <c r="AM73" s="73" t="str">
        <f t="shared" si="23"/>
        <v/>
      </c>
    </row>
    <row r="74" spans="1:39" ht="15.75" thickBot="1">
      <c r="A74" s="2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54" t="str">
        <f t="shared" si="15"/>
        <v/>
      </c>
      <c r="AB74" s="32" t="str">
        <f t="shared" si="16"/>
        <v/>
      </c>
      <c r="AC74" s="32" t="str">
        <f t="shared" si="24"/>
        <v/>
      </c>
      <c r="AD74" s="32" t="str">
        <f t="shared" si="25"/>
        <v/>
      </c>
      <c r="AE74" s="32" t="str">
        <f t="shared" ref="AE74:AE116" si="29">IF(SUM(B74:Z74)&gt;0,STDEV(B74:Z74),"")</f>
        <v/>
      </c>
      <c r="AF74" s="33" t="str">
        <f t="shared" ref="AF74:AF116" si="30">IF(SUM(B74:Z74)&gt;0,AVERAGE($AE$9:$AE$116),"")</f>
        <v/>
      </c>
      <c r="AG74" s="34" t="str">
        <f t="shared" si="26"/>
        <v/>
      </c>
      <c r="AH74" s="34" t="str">
        <f t="shared" si="27"/>
        <v/>
      </c>
      <c r="AI74" s="77"/>
      <c r="AJ74" s="78" t="str">
        <f t="shared" si="28"/>
        <v/>
      </c>
      <c r="AK74" s="78" t="str">
        <f t="shared" si="21"/>
        <v/>
      </c>
      <c r="AL74" s="73" t="str">
        <f t="shared" si="22"/>
        <v/>
      </c>
      <c r="AM74" s="73" t="str">
        <f t="shared" si="23"/>
        <v/>
      </c>
    </row>
    <row r="75" spans="1:39" ht="15.75" thickBot="1">
      <c r="A75" s="2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54" t="str">
        <f t="shared" si="15"/>
        <v/>
      </c>
      <c r="AB75" s="32" t="str">
        <f t="shared" si="16"/>
        <v/>
      </c>
      <c r="AC75" s="32" t="str">
        <f t="shared" si="24"/>
        <v/>
      </c>
      <c r="AD75" s="32" t="str">
        <f t="shared" si="25"/>
        <v/>
      </c>
      <c r="AE75" s="32" t="str">
        <f t="shared" si="29"/>
        <v/>
      </c>
      <c r="AF75" s="33" t="str">
        <f t="shared" si="30"/>
        <v/>
      </c>
      <c r="AG75" s="34" t="str">
        <f t="shared" si="26"/>
        <v/>
      </c>
      <c r="AH75" s="34" t="str">
        <f t="shared" si="27"/>
        <v/>
      </c>
      <c r="AI75" s="77"/>
      <c r="AJ75" s="78" t="str">
        <f t="shared" si="28"/>
        <v/>
      </c>
      <c r="AK75" s="78" t="str">
        <f t="shared" si="21"/>
        <v/>
      </c>
      <c r="AL75" s="73" t="str">
        <f t="shared" si="22"/>
        <v/>
      </c>
      <c r="AM75" s="73" t="str">
        <f t="shared" si="23"/>
        <v/>
      </c>
    </row>
    <row r="76" spans="1:39" ht="15.75" thickBot="1">
      <c r="A76" s="2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54" t="str">
        <f t="shared" si="15"/>
        <v/>
      </c>
      <c r="AB76" s="32" t="str">
        <f t="shared" si="16"/>
        <v/>
      </c>
      <c r="AC76" s="32" t="str">
        <f t="shared" si="24"/>
        <v/>
      </c>
      <c r="AD76" s="32" t="str">
        <f t="shared" si="25"/>
        <v/>
      </c>
      <c r="AE76" s="32" t="str">
        <f t="shared" si="29"/>
        <v/>
      </c>
      <c r="AF76" s="33" t="str">
        <f t="shared" si="30"/>
        <v/>
      </c>
      <c r="AG76" s="34" t="str">
        <f t="shared" si="26"/>
        <v/>
      </c>
      <c r="AH76" s="34" t="str">
        <f t="shared" si="27"/>
        <v/>
      </c>
      <c r="AI76" s="77"/>
      <c r="AJ76" s="78" t="str">
        <f t="shared" si="28"/>
        <v/>
      </c>
      <c r="AK76" s="78" t="str">
        <f t="shared" si="21"/>
        <v/>
      </c>
      <c r="AL76" s="73" t="str">
        <f t="shared" si="22"/>
        <v/>
      </c>
      <c r="AM76" s="73" t="str">
        <f t="shared" si="23"/>
        <v/>
      </c>
    </row>
    <row r="77" spans="1:39" ht="15.75" thickBot="1">
      <c r="A77" s="2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54" t="str">
        <f t="shared" si="15"/>
        <v/>
      </c>
      <c r="AB77" s="32" t="str">
        <f t="shared" si="16"/>
        <v/>
      </c>
      <c r="AC77" s="32" t="str">
        <f t="shared" si="24"/>
        <v/>
      </c>
      <c r="AD77" s="32" t="str">
        <f t="shared" si="25"/>
        <v/>
      </c>
      <c r="AE77" s="32" t="str">
        <f t="shared" si="29"/>
        <v/>
      </c>
      <c r="AF77" s="33" t="str">
        <f t="shared" si="30"/>
        <v/>
      </c>
      <c r="AG77" s="34" t="str">
        <f t="shared" si="26"/>
        <v/>
      </c>
      <c r="AH77" s="34" t="str">
        <f t="shared" si="27"/>
        <v/>
      </c>
      <c r="AI77" s="77"/>
      <c r="AJ77" s="78" t="str">
        <f t="shared" si="28"/>
        <v/>
      </c>
      <c r="AK77" s="78" t="str">
        <f t="shared" si="21"/>
        <v/>
      </c>
      <c r="AL77" s="73" t="str">
        <f t="shared" si="22"/>
        <v/>
      </c>
      <c r="AM77" s="73" t="str">
        <f t="shared" si="23"/>
        <v/>
      </c>
    </row>
    <row r="78" spans="1:39" ht="15.75" thickBot="1">
      <c r="A78" s="2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54" t="str">
        <f t="shared" si="15"/>
        <v/>
      </c>
      <c r="AB78" s="32" t="str">
        <f t="shared" si="16"/>
        <v/>
      </c>
      <c r="AC78" s="32" t="str">
        <f t="shared" si="24"/>
        <v/>
      </c>
      <c r="AD78" s="32" t="str">
        <f t="shared" si="25"/>
        <v/>
      </c>
      <c r="AE78" s="32" t="str">
        <f t="shared" si="29"/>
        <v/>
      </c>
      <c r="AF78" s="33" t="str">
        <f t="shared" si="30"/>
        <v/>
      </c>
      <c r="AG78" s="34" t="str">
        <f t="shared" si="26"/>
        <v/>
      </c>
      <c r="AH78" s="34" t="str">
        <f t="shared" si="27"/>
        <v/>
      </c>
      <c r="AI78" s="77"/>
      <c r="AJ78" s="78" t="str">
        <f t="shared" si="28"/>
        <v/>
      </c>
      <c r="AK78" s="78" t="str">
        <f t="shared" si="21"/>
        <v/>
      </c>
      <c r="AL78" s="73" t="str">
        <f t="shared" si="22"/>
        <v/>
      </c>
      <c r="AM78" s="73" t="str">
        <f t="shared" si="23"/>
        <v/>
      </c>
    </row>
    <row r="79" spans="1:39" ht="15.75" thickBot="1">
      <c r="A79" s="2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54" t="str">
        <f t="shared" si="15"/>
        <v/>
      </c>
      <c r="AB79" s="32" t="str">
        <f t="shared" si="16"/>
        <v/>
      </c>
      <c r="AC79" s="32" t="str">
        <f t="shared" si="24"/>
        <v/>
      </c>
      <c r="AD79" s="32" t="str">
        <f t="shared" si="25"/>
        <v/>
      </c>
      <c r="AE79" s="32" t="str">
        <f t="shared" si="29"/>
        <v/>
      </c>
      <c r="AF79" s="33" t="str">
        <f t="shared" si="30"/>
        <v/>
      </c>
      <c r="AG79" s="34" t="str">
        <f t="shared" si="26"/>
        <v/>
      </c>
      <c r="AH79" s="34" t="str">
        <f t="shared" si="27"/>
        <v/>
      </c>
      <c r="AI79" s="77"/>
      <c r="AJ79" s="78" t="str">
        <f t="shared" si="28"/>
        <v/>
      </c>
      <c r="AK79" s="78" t="str">
        <f t="shared" si="21"/>
        <v/>
      </c>
      <c r="AL79" s="73" t="str">
        <f t="shared" si="22"/>
        <v/>
      </c>
      <c r="AM79" s="73" t="str">
        <f t="shared" si="23"/>
        <v/>
      </c>
    </row>
    <row r="80" spans="1:39" ht="15.75" thickBot="1">
      <c r="A80" s="2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54" t="str">
        <f t="shared" si="15"/>
        <v/>
      </c>
      <c r="AB80" s="32" t="str">
        <f t="shared" si="16"/>
        <v/>
      </c>
      <c r="AC80" s="32" t="str">
        <f t="shared" si="24"/>
        <v/>
      </c>
      <c r="AD80" s="32" t="str">
        <f t="shared" si="25"/>
        <v/>
      </c>
      <c r="AE80" s="32" t="str">
        <f t="shared" si="29"/>
        <v/>
      </c>
      <c r="AF80" s="33" t="str">
        <f t="shared" si="30"/>
        <v/>
      </c>
      <c r="AG80" s="34" t="str">
        <f t="shared" si="26"/>
        <v/>
      </c>
      <c r="AH80" s="34" t="str">
        <f t="shared" si="27"/>
        <v/>
      </c>
      <c r="AI80" s="77"/>
      <c r="AJ80" s="78" t="str">
        <f t="shared" si="28"/>
        <v/>
      </c>
      <c r="AK80" s="78" t="str">
        <f t="shared" si="21"/>
        <v/>
      </c>
      <c r="AL80" s="73" t="str">
        <f t="shared" si="22"/>
        <v/>
      </c>
      <c r="AM80" s="73" t="str">
        <f t="shared" si="23"/>
        <v/>
      </c>
    </row>
    <row r="81" spans="1:39" ht="15.75" thickBot="1">
      <c r="A81" s="2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54" t="str">
        <f t="shared" si="15"/>
        <v/>
      </c>
      <c r="AB81" s="32" t="str">
        <f t="shared" si="16"/>
        <v/>
      </c>
      <c r="AC81" s="32" t="str">
        <f t="shared" si="24"/>
        <v/>
      </c>
      <c r="AD81" s="32" t="str">
        <f t="shared" si="25"/>
        <v/>
      </c>
      <c r="AE81" s="32" t="str">
        <f t="shared" si="29"/>
        <v/>
      </c>
      <c r="AF81" s="33" t="str">
        <f t="shared" si="30"/>
        <v/>
      </c>
      <c r="AG81" s="34" t="str">
        <f t="shared" si="26"/>
        <v/>
      </c>
      <c r="AH81" s="34" t="str">
        <f t="shared" si="27"/>
        <v/>
      </c>
      <c r="AI81" s="77"/>
      <c r="AJ81" s="78" t="str">
        <f t="shared" si="28"/>
        <v/>
      </c>
      <c r="AK81" s="78" t="str">
        <f t="shared" si="21"/>
        <v/>
      </c>
      <c r="AL81" s="73" t="str">
        <f t="shared" si="22"/>
        <v/>
      </c>
      <c r="AM81" s="73" t="str">
        <f t="shared" si="23"/>
        <v/>
      </c>
    </row>
    <row r="82" spans="1:39" ht="15.75" thickBot="1">
      <c r="A82" s="2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54" t="str">
        <f t="shared" si="15"/>
        <v/>
      </c>
      <c r="AB82" s="32" t="str">
        <f t="shared" si="16"/>
        <v/>
      </c>
      <c r="AC82" s="32" t="str">
        <f t="shared" si="24"/>
        <v/>
      </c>
      <c r="AD82" s="32" t="str">
        <f t="shared" si="25"/>
        <v/>
      </c>
      <c r="AE82" s="32" t="str">
        <f t="shared" si="29"/>
        <v/>
      </c>
      <c r="AF82" s="33" t="str">
        <f t="shared" si="30"/>
        <v/>
      </c>
      <c r="AG82" s="34" t="str">
        <f t="shared" si="26"/>
        <v/>
      </c>
      <c r="AH82" s="34" t="str">
        <f t="shared" si="27"/>
        <v/>
      </c>
      <c r="AI82" s="77"/>
      <c r="AJ82" s="78" t="str">
        <f t="shared" si="28"/>
        <v/>
      </c>
      <c r="AK82" s="78" t="str">
        <f t="shared" si="21"/>
        <v/>
      </c>
      <c r="AL82" s="73" t="str">
        <f t="shared" si="22"/>
        <v/>
      </c>
      <c r="AM82" s="73" t="str">
        <f t="shared" si="23"/>
        <v/>
      </c>
    </row>
    <row r="83" spans="1:39" ht="15.75" thickBot="1">
      <c r="A83" s="2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54" t="str">
        <f t="shared" si="15"/>
        <v/>
      </c>
      <c r="AB83" s="32" t="str">
        <f t="shared" si="16"/>
        <v/>
      </c>
      <c r="AC83" s="32" t="str">
        <f t="shared" si="24"/>
        <v/>
      </c>
      <c r="AD83" s="32" t="str">
        <f t="shared" si="25"/>
        <v/>
      </c>
      <c r="AE83" s="32" t="str">
        <f t="shared" si="29"/>
        <v/>
      </c>
      <c r="AF83" s="33" t="str">
        <f t="shared" si="30"/>
        <v/>
      </c>
      <c r="AG83" s="34" t="str">
        <f t="shared" si="26"/>
        <v/>
      </c>
      <c r="AH83" s="34" t="str">
        <f t="shared" si="27"/>
        <v/>
      </c>
      <c r="AI83" s="77"/>
      <c r="AJ83" s="78" t="str">
        <f t="shared" si="28"/>
        <v/>
      </c>
      <c r="AK83" s="78" t="str">
        <f t="shared" si="21"/>
        <v/>
      </c>
      <c r="AL83" s="73" t="str">
        <f t="shared" si="22"/>
        <v/>
      </c>
      <c r="AM83" s="73" t="str">
        <f t="shared" si="23"/>
        <v/>
      </c>
    </row>
    <row r="84" spans="1:39" ht="15.75" thickBot="1">
      <c r="A84" s="2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54" t="str">
        <f t="shared" si="15"/>
        <v/>
      </c>
      <c r="AB84" s="32" t="str">
        <f t="shared" si="16"/>
        <v/>
      </c>
      <c r="AC84" s="32" t="str">
        <f t="shared" si="24"/>
        <v/>
      </c>
      <c r="AD84" s="32" t="str">
        <f t="shared" si="25"/>
        <v/>
      </c>
      <c r="AE84" s="32" t="str">
        <f t="shared" si="29"/>
        <v/>
      </c>
      <c r="AF84" s="33" t="str">
        <f t="shared" si="30"/>
        <v/>
      </c>
      <c r="AG84" s="34" t="str">
        <f t="shared" si="26"/>
        <v/>
      </c>
      <c r="AH84" s="34" t="str">
        <f t="shared" si="27"/>
        <v/>
      </c>
      <c r="AI84" s="77"/>
      <c r="AJ84" s="78" t="str">
        <f t="shared" si="28"/>
        <v/>
      </c>
      <c r="AK84" s="78" t="str">
        <f t="shared" si="21"/>
        <v/>
      </c>
      <c r="AL84" s="73" t="str">
        <f t="shared" si="22"/>
        <v/>
      </c>
      <c r="AM84" s="73" t="str">
        <f t="shared" si="23"/>
        <v/>
      </c>
    </row>
    <row r="85" spans="1:39" ht="15.75" thickBot="1">
      <c r="A85" s="2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54" t="str">
        <f t="shared" si="15"/>
        <v/>
      </c>
      <c r="AB85" s="32" t="str">
        <f t="shared" si="16"/>
        <v/>
      </c>
      <c r="AC85" s="32" t="str">
        <f t="shared" si="24"/>
        <v/>
      </c>
      <c r="AD85" s="32" t="str">
        <f t="shared" si="25"/>
        <v/>
      </c>
      <c r="AE85" s="32" t="str">
        <f t="shared" si="29"/>
        <v/>
      </c>
      <c r="AF85" s="33" t="str">
        <f t="shared" si="30"/>
        <v/>
      </c>
      <c r="AG85" s="34" t="str">
        <f t="shared" si="26"/>
        <v/>
      </c>
      <c r="AH85" s="34" t="str">
        <f t="shared" si="27"/>
        <v/>
      </c>
      <c r="AI85" s="77"/>
      <c r="AJ85" s="78" t="str">
        <f t="shared" si="28"/>
        <v/>
      </c>
      <c r="AK85" s="78" t="str">
        <f t="shared" si="21"/>
        <v/>
      </c>
      <c r="AL85" s="73" t="str">
        <f t="shared" si="22"/>
        <v/>
      </c>
      <c r="AM85" s="73" t="str">
        <f t="shared" si="23"/>
        <v/>
      </c>
    </row>
    <row r="86" spans="1:39" ht="15.75" thickBot="1">
      <c r="A86" s="2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54" t="str">
        <f t="shared" si="15"/>
        <v/>
      </c>
      <c r="AB86" s="32" t="str">
        <f t="shared" si="16"/>
        <v/>
      </c>
      <c r="AC86" s="32" t="str">
        <f t="shared" si="24"/>
        <v/>
      </c>
      <c r="AD86" s="32" t="str">
        <f t="shared" si="25"/>
        <v/>
      </c>
      <c r="AE86" s="32" t="str">
        <f t="shared" si="29"/>
        <v/>
      </c>
      <c r="AF86" s="33" t="str">
        <f t="shared" si="30"/>
        <v/>
      </c>
      <c r="AG86" s="34" t="str">
        <f t="shared" si="26"/>
        <v/>
      </c>
      <c r="AH86" s="34" t="str">
        <f t="shared" si="27"/>
        <v/>
      </c>
      <c r="AI86" s="77"/>
      <c r="AJ86" s="78" t="str">
        <f t="shared" si="28"/>
        <v/>
      </c>
      <c r="AK86" s="78" t="str">
        <f t="shared" si="21"/>
        <v/>
      </c>
      <c r="AL86" s="73" t="str">
        <f t="shared" si="22"/>
        <v/>
      </c>
      <c r="AM86" s="73" t="str">
        <f t="shared" si="23"/>
        <v/>
      </c>
    </row>
    <row r="87" spans="1:39" ht="15.75" thickBot="1">
      <c r="A87" s="2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54" t="str">
        <f t="shared" si="15"/>
        <v/>
      </c>
      <c r="AB87" s="32" t="str">
        <f t="shared" si="16"/>
        <v/>
      </c>
      <c r="AC87" s="32" t="str">
        <f t="shared" si="24"/>
        <v/>
      </c>
      <c r="AD87" s="32" t="str">
        <f t="shared" si="25"/>
        <v/>
      </c>
      <c r="AE87" s="32" t="str">
        <f t="shared" si="29"/>
        <v/>
      </c>
      <c r="AF87" s="33" t="str">
        <f t="shared" si="30"/>
        <v/>
      </c>
      <c r="AG87" s="34" t="str">
        <f t="shared" si="26"/>
        <v/>
      </c>
      <c r="AH87" s="34" t="str">
        <f t="shared" si="27"/>
        <v/>
      </c>
      <c r="AI87" s="77"/>
      <c r="AJ87" s="78" t="str">
        <f t="shared" si="28"/>
        <v/>
      </c>
      <c r="AK87" s="78" t="str">
        <f t="shared" si="21"/>
        <v/>
      </c>
      <c r="AL87" s="73" t="str">
        <f t="shared" si="22"/>
        <v/>
      </c>
      <c r="AM87" s="73" t="str">
        <f t="shared" si="23"/>
        <v/>
      </c>
    </row>
    <row r="88" spans="1:39" ht="15.75" thickBot="1">
      <c r="A88" s="2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54" t="str">
        <f t="shared" si="15"/>
        <v/>
      </c>
      <c r="AB88" s="32" t="str">
        <f t="shared" si="16"/>
        <v/>
      </c>
      <c r="AC88" s="32" t="str">
        <f t="shared" si="24"/>
        <v/>
      </c>
      <c r="AD88" s="32" t="str">
        <f t="shared" si="25"/>
        <v/>
      </c>
      <c r="AE88" s="32" t="str">
        <f t="shared" si="29"/>
        <v/>
      </c>
      <c r="AF88" s="33" t="str">
        <f t="shared" si="30"/>
        <v/>
      </c>
      <c r="AG88" s="34" t="str">
        <f t="shared" si="26"/>
        <v/>
      </c>
      <c r="AH88" s="34" t="str">
        <f t="shared" si="27"/>
        <v/>
      </c>
      <c r="AI88" s="77"/>
      <c r="AJ88" s="78" t="str">
        <f t="shared" si="28"/>
        <v/>
      </c>
      <c r="AK88" s="78" t="str">
        <f t="shared" si="21"/>
        <v/>
      </c>
      <c r="AL88" s="73" t="str">
        <f t="shared" si="22"/>
        <v/>
      </c>
      <c r="AM88" s="73" t="str">
        <f t="shared" si="23"/>
        <v/>
      </c>
    </row>
    <row r="89" spans="1:39" ht="15.75" thickBot="1">
      <c r="A89" s="2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54" t="str">
        <f t="shared" si="15"/>
        <v/>
      </c>
      <c r="AB89" s="32" t="str">
        <f t="shared" si="16"/>
        <v/>
      </c>
      <c r="AC89" s="32" t="str">
        <f t="shared" si="24"/>
        <v/>
      </c>
      <c r="AD89" s="32" t="str">
        <f t="shared" si="25"/>
        <v/>
      </c>
      <c r="AE89" s="32" t="str">
        <f t="shared" si="29"/>
        <v/>
      </c>
      <c r="AF89" s="33" t="str">
        <f t="shared" si="30"/>
        <v/>
      </c>
      <c r="AG89" s="34" t="str">
        <f t="shared" si="26"/>
        <v/>
      </c>
      <c r="AH89" s="34" t="str">
        <f t="shared" si="27"/>
        <v/>
      </c>
      <c r="AI89" s="77"/>
      <c r="AJ89" s="78" t="str">
        <f t="shared" si="28"/>
        <v/>
      </c>
      <c r="AK89" s="78" t="str">
        <f t="shared" si="21"/>
        <v/>
      </c>
      <c r="AL89" s="73" t="str">
        <f t="shared" si="22"/>
        <v/>
      </c>
      <c r="AM89" s="73" t="str">
        <f t="shared" si="23"/>
        <v/>
      </c>
    </row>
    <row r="90" spans="1:39" ht="15.75" thickBot="1">
      <c r="A90" s="2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54" t="str">
        <f t="shared" si="15"/>
        <v/>
      </c>
      <c r="AB90" s="32" t="str">
        <f t="shared" si="16"/>
        <v/>
      </c>
      <c r="AC90" s="32" t="str">
        <f t="shared" si="24"/>
        <v/>
      </c>
      <c r="AD90" s="32" t="str">
        <f t="shared" si="25"/>
        <v/>
      </c>
      <c r="AE90" s="32" t="str">
        <f t="shared" si="29"/>
        <v/>
      </c>
      <c r="AF90" s="33" t="str">
        <f t="shared" si="30"/>
        <v/>
      </c>
      <c r="AG90" s="34" t="str">
        <f t="shared" si="26"/>
        <v/>
      </c>
      <c r="AH90" s="34" t="str">
        <f t="shared" si="27"/>
        <v/>
      </c>
      <c r="AI90" s="77"/>
      <c r="AJ90" s="78" t="str">
        <f t="shared" si="28"/>
        <v/>
      </c>
      <c r="AK90" s="78" t="str">
        <f t="shared" si="21"/>
        <v/>
      </c>
      <c r="AL90" s="73" t="str">
        <f t="shared" si="22"/>
        <v/>
      </c>
      <c r="AM90" s="73" t="str">
        <f t="shared" si="23"/>
        <v/>
      </c>
    </row>
    <row r="91" spans="1:39" ht="15.75" thickBot="1">
      <c r="A91" s="2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54" t="str">
        <f t="shared" si="15"/>
        <v/>
      </c>
      <c r="AB91" s="32" t="str">
        <f t="shared" si="16"/>
        <v/>
      </c>
      <c r="AC91" s="32" t="str">
        <f t="shared" si="24"/>
        <v/>
      </c>
      <c r="AD91" s="32" t="str">
        <f t="shared" si="25"/>
        <v/>
      </c>
      <c r="AE91" s="32" t="str">
        <f t="shared" si="29"/>
        <v/>
      </c>
      <c r="AF91" s="33" t="str">
        <f t="shared" si="30"/>
        <v/>
      </c>
      <c r="AG91" s="34" t="str">
        <f t="shared" si="26"/>
        <v/>
      </c>
      <c r="AH91" s="34" t="str">
        <f t="shared" si="27"/>
        <v/>
      </c>
      <c r="AI91" s="77"/>
      <c r="AJ91" s="78" t="str">
        <f t="shared" si="28"/>
        <v/>
      </c>
      <c r="AK91" s="78" t="str">
        <f t="shared" si="21"/>
        <v/>
      </c>
      <c r="AL91" s="73" t="str">
        <f t="shared" si="22"/>
        <v/>
      </c>
      <c r="AM91" s="73" t="str">
        <f t="shared" si="23"/>
        <v/>
      </c>
    </row>
    <row r="92" spans="1:39" ht="15.75" thickBot="1">
      <c r="A92" s="2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54" t="str">
        <f t="shared" si="15"/>
        <v/>
      </c>
      <c r="AB92" s="32" t="str">
        <f t="shared" si="16"/>
        <v/>
      </c>
      <c r="AC92" s="32" t="str">
        <f t="shared" si="24"/>
        <v/>
      </c>
      <c r="AD92" s="32" t="str">
        <f t="shared" si="25"/>
        <v/>
      </c>
      <c r="AE92" s="32" t="str">
        <f t="shared" si="29"/>
        <v/>
      </c>
      <c r="AF92" s="33" t="str">
        <f t="shared" si="30"/>
        <v/>
      </c>
      <c r="AG92" s="34" t="str">
        <f t="shared" si="26"/>
        <v/>
      </c>
      <c r="AH92" s="34" t="str">
        <f t="shared" si="27"/>
        <v/>
      </c>
      <c r="AI92" s="77"/>
      <c r="AJ92" s="78" t="str">
        <f t="shared" si="28"/>
        <v/>
      </c>
      <c r="AK92" s="78" t="str">
        <f t="shared" si="21"/>
        <v/>
      </c>
      <c r="AL92" s="73" t="str">
        <f t="shared" si="22"/>
        <v/>
      </c>
      <c r="AM92" s="73" t="str">
        <f t="shared" si="23"/>
        <v/>
      </c>
    </row>
    <row r="93" spans="1:39" ht="15.75" thickBot="1">
      <c r="A93" s="2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54" t="str">
        <f t="shared" si="15"/>
        <v/>
      </c>
      <c r="AB93" s="32" t="str">
        <f t="shared" si="16"/>
        <v/>
      </c>
      <c r="AC93" s="32" t="str">
        <f t="shared" si="24"/>
        <v/>
      </c>
      <c r="AD93" s="32" t="str">
        <f t="shared" si="25"/>
        <v/>
      </c>
      <c r="AE93" s="32" t="str">
        <f t="shared" si="29"/>
        <v/>
      </c>
      <c r="AF93" s="33" t="str">
        <f t="shared" si="30"/>
        <v/>
      </c>
      <c r="AG93" s="34" t="str">
        <f t="shared" si="26"/>
        <v/>
      </c>
      <c r="AH93" s="34" t="str">
        <f t="shared" si="27"/>
        <v/>
      </c>
      <c r="AI93" s="77"/>
      <c r="AJ93" s="78" t="str">
        <f t="shared" si="28"/>
        <v/>
      </c>
      <c r="AK93" s="78" t="str">
        <f t="shared" si="21"/>
        <v/>
      </c>
      <c r="AL93" s="73" t="str">
        <f t="shared" si="22"/>
        <v/>
      </c>
      <c r="AM93" s="73" t="str">
        <f t="shared" si="23"/>
        <v/>
      </c>
    </row>
    <row r="94" spans="1:39" ht="15.75" thickBot="1">
      <c r="A94" s="2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54" t="str">
        <f t="shared" si="15"/>
        <v/>
      </c>
      <c r="AB94" s="32" t="str">
        <f t="shared" si="16"/>
        <v/>
      </c>
      <c r="AC94" s="32" t="str">
        <f t="shared" si="24"/>
        <v/>
      </c>
      <c r="AD94" s="32" t="str">
        <f t="shared" si="25"/>
        <v/>
      </c>
      <c r="AE94" s="32" t="str">
        <f t="shared" si="29"/>
        <v/>
      </c>
      <c r="AF94" s="33" t="str">
        <f t="shared" si="30"/>
        <v/>
      </c>
      <c r="AG94" s="34" t="str">
        <f t="shared" si="26"/>
        <v/>
      </c>
      <c r="AH94" s="34" t="str">
        <f t="shared" si="27"/>
        <v/>
      </c>
      <c r="AI94" s="77"/>
      <c r="AJ94" s="78" t="str">
        <f t="shared" si="28"/>
        <v/>
      </c>
      <c r="AK94" s="78" t="str">
        <f t="shared" si="21"/>
        <v/>
      </c>
      <c r="AL94" s="73" t="str">
        <f t="shared" si="22"/>
        <v/>
      </c>
      <c r="AM94" s="73" t="str">
        <f t="shared" si="23"/>
        <v/>
      </c>
    </row>
    <row r="95" spans="1:39" ht="15.75" thickBot="1">
      <c r="A95" s="2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54" t="str">
        <f t="shared" si="15"/>
        <v/>
      </c>
      <c r="AB95" s="32" t="str">
        <f t="shared" si="16"/>
        <v/>
      </c>
      <c r="AC95" s="32" t="str">
        <f t="shared" si="24"/>
        <v/>
      </c>
      <c r="AD95" s="32" t="str">
        <f t="shared" si="25"/>
        <v/>
      </c>
      <c r="AE95" s="32" t="str">
        <f t="shared" si="29"/>
        <v/>
      </c>
      <c r="AF95" s="33" t="str">
        <f t="shared" si="30"/>
        <v/>
      </c>
      <c r="AG95" s="34" t="str">
        <f t="shared" si="26"/>
        <v/>
      </c>
      <c r="AH95" s="34" t="str">
        <f t="shared" si="27"/>
        <v/>
      </c>
      <c r="AI95" s="77"/>
      <c r="AJ95" s="78" t="str">
        <f t="shared" si="28"/>
        <v/>
      </c>
      <c r="AK95" s="78" t="str">
        <f t="shared" si="21"/>
        <v/>
      </c>
      <c r="AL95" s="73" t="str">
        <f t="shared" si="22"/>
        <v/>
      </c>
      <c r="AM95" s="73" t="str">
        <f t="shared" si="23"/>
        <v/>
      </c>
    </row>
    <row r="96" spans="1:39" ht="15.75" thickBot="1">
      <c r="A96" s="2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54" t="str">
        <f t="shared" si="15"/>
        <v/>
      </c>
      <c r="AB96" s="32" t="str">
        <f t="shared" si="16"/>
        <v/>
      </c>
      <c r="AC96" s="32" t="str">
        <f t="shared" si="24"/>
        <v/>
      </c>
      <c r="AD96" s="32" t="str">
        <f t="shared" si="25"/>
        <v/>
      </c>
      <c r="AE96" s="32" t="str">
        <f t="shared" si="29"/>
        <v/>
      </c>
      <c r="AF96" s="33" t="str">
        <f t="shared" si="30"/>
        <v/>
      </c>
      <c r="AG96" s="34" t="str">
        <f t="shared" si="26"/>
        <v/>
      </c>
      <c r="AH96" s="34" t="str">
        <f t="shared" si="27"/>
        <v/>
      </c>
      <c r="AI96" s="77"/>
      <c r="AJ96" s="78" t="str">
        <f t="shared" si="28"/>
        <v/>
      </c>
      <c r="AK96" s="78" t="str">
        <f t="shared" si="21"/>
        <v/>
      </c>
      <c r="AL96" s="73" t="str">
        <f t="shared" si="22"/>
        <v/>
      </c>
      <c r="AM96" s="73" t="str">
        <f t="shared" si="23"/>
        <v/>
      </c>
    </row>
    <row r="97" spans="1:39" ht="15.75" thickBot="1">
      <c r="A97" s="2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54" t="str">
        <f t="shared" si="15"/>
        <v/>
      </c>
      <c r="AB97" s="32" t="str">
        <f t="shared" si="16"/>
        <v/>
      </c>
      <c r="AC97" s="32" t="str">
        <f t="shared" si="24"/>
        <v/>
      </c>
      <c r="AD97" s="32" t="str">
        <f t="shared" si="25"/>
        <v/>
      </c>
      <c r="AE97" s="32" t="str">
        <f t="shared" si="29"/>
        <v/>
      </c>
      <c r="AF97" s="33" t="str">
        <f t="shared" si="30"/>
        <v/>
      </c>
      <c r="AG97" s="34" t="str">
        <f t="shared" si="26"/>
        <v/>
      </c>
      <c r="AH97" s="34" t="str">
        <f t="shared" si="27"/>
        <v/>
      </c>
      <c r="AI97" s="77"/>
      <c r="AJ97" s="78" t="str">
        <f t="shared" si="28"/>
        <v/>
      </c>
      <c r="AK97" s="78" t="str">
        <f t="shared" si="21"/>
        <v/>
      </c>
      <c r="AL97" s="73" t="str">
        <f t="shared" si="22"/>
        <v/>
      </c>
      <c r="AM97" s="73" t="str">
        <f t="shared" si="23"/>
        <v/>
      </c>
    </row>
    <row r="98" spans="1:39" ht="15.75" thickBot="1">
      <c r="A98" s="2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54" t="str">
        <f t="shared" si="15"/>
        <v/>
      </c>
      <c r="AB98" s="32" t="str">
        <f t="shared" si="16"/>
        <v/>
      </c>
      <c r="AC98" s="32" t="str">
        <f t="shared" si="24"/>
        <v/>
      </c>
      <c r="AD98" s="32" t="str">
        <f t="shared" si="25"/>
        <v/>
      </c>
      <c r="AE98" s="32" t="str">
        <f t="shared" si="29"/>
        <v/>
      </c>
      <c r="AF98" s="33" t="str">
        <f t="shared" si="30"/>
        <v/>
      </c>
      <c r="AG98" s="34" t="str">
        <f t="shared" si="26"/>
        <v/>
      </c>
      <c r="AH98" s="34" t="str">
        <f t="shared" si="27"/>
        <v/>
      </c>
      <c r="AI98" s="77"/>
      <c r="AJ98" s="78" t="str">
        <f t="shared" si="28"/>
        <v/>
      </c>
      <c r="AK98" s="78" t="str">
        <f t="shared" si="21"/>
        <v/>
      </c>
      <c r="AL98" s="73" t="str">
        <f t="shared" si="22"/>
        <v/>
      </c>
      <c r="AM98" s="73" t="str">
        <f t="shared" si="23"/>
        <v/>
      </c>
    </row>
    <row r="99" spans="1:39" ht="15.75" thickBot="1">
      <c r="A99" s="2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54" t="str">
        <f t="shared" si="15"/>
        <v/>
      </c>
      <c r="AB99" s="32" t="str">
        <f t="shared" si="16"/>
        <v/>
      </c>
      <c r="AC99" s="32" t="str">
        <f t="shared" si="24"/>
        <v/>
      </c>
      <c r="AD99" s="32" t="str">
        <f t="shared" si="25"/>
        <v/>
      </c>
      <c r="AE99" s="32" t="str">
        <f t="shared" si="29"/>
        <v/>
      </c>
      <c r="AF99" s="33" t="str">
        <f t="shared" si="30"/>
        <v/>
      </c>
      <c r="AG99" s="34" t="str">
        <f t="shared" si="26"/>
        <v/>
      </c>
      <c r="AH99" s="34" t="str">
        <f t="shared" si="27"/>
        <v/>
      </c>
      <c r="AI99" s="77"/>
      <c r="AJ99" s="78" t="str">
        <f t="shared" si="28"/>
        <v/>
      </c>
      <c r="AK99" s="78" t="str">
        <f t="shared" si="21"/>
        <v/>
      </c>
      <c r="AL99" s="73" t="str">
        <f t="shared" si="22"/>
        <v/>
      </c>
      <c r="AM99" s="73" t="str">
        <f t="shared" si="23"/>
        <v/>
      </c>
    </row>
    <row r="100" spans="1:39" ht="15.75" thickBot="1">
      <c r="A100" s="2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54" t="str">
        <f t="shared" si="15"/>
        <v/>
      </c>
      <c r="AB100" s="32" t="str">
        <f t="shared" si="16"/>
        <v/>
      </c>
      <c r="AC100" s="32" t="str">
        <f t="shared" si="24"/>
        <v/>
      </c>
      <c r="AD100" s="32" t="str">
        <f t="shared" si="25"/>
        <v/>
      </c>
      <c r="AE100" s="32" t="str">
        <f t="shared" si="29"/>
        <v/>
      </c>
      <c r="AF100" s="33" t="str">
        <f t="shared" si="30"/>
        <v/>
      </c>
      <c r="AG100" s="34" t="str">
        <f t="shared" si="26"/>
        <v/>
      </c>
      <c r="AH100" s="34" t="str">
        <f t="shared" si="27"/>
        <v/>
      </c>
      <c r="AI100" s="77"/>
      <c r="AJ100" s="78" t="str">
        <f t="shared" si="28"/>
        <v/>
      </c>
      <c r="AK100" s="78" t="str">
        <f t="shared" si="21"/>
        <v/>
      </c>
      <c r="AL100" s="73" t="str">
        <f t="shared" si="22"/>
        <v/>
      </c>
      <c r="AM100" s="73" t="str">
        <f t="shared" si="23"/>
        <v/>
      </c>
    </row>
    <row r="101" spans="1:39" ht="15.75" thickBot="1">
      <c r="A101" s="2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54" t="str">
        <f t="shared" si="15"/>
        <v/>
      </c>
      <c r="AB101" s="32" t="str">
        <f t="shared" si="16"/>
        <v/>
      </c>
      <c r="AC101" s="32" t="str">
        <f t="shared" si="24"/>
        <v/>
      </c>
      <c r="AD101" s="32" t="str">
        <f t="shared" si="25"/>
        <v/>
      </c>
      <c r="AE101" s="32" t="str">
        <f t="shared" si="29"/>
        <v/>
      </c>
      <c r="AF101" s="33" t="str">
        <f t="shared" si="30"/>
        <v/>
      </c>
      <c r="AG101" s="34" t="str">
        <f t="shared" si="26"/>
        <v/>
      </c>
      <c r="AH101" s="34" t="str">
        <f t="shared" si="27"/>
        <v/>
      </c>
      <c r="AI101" s="77"/>
      <c r="AJ101" s="78" t="str">
        <f t="shared" si="28"/>
        <v/>
      </c>
      <c r="AK101" s="78" t="str">
        <f t="shared" si="21"/>
        <v/>
      </c>
      <c r="AL101" s="73" t="str">
        <f t="shared" si="22"/>
        <v/>
      </c>
      <c r="AM101" s="73" t="str">
        <f t="shared" si="23"/>
        <v/>
      </c>
    </row>
    <row r="102" spans="1:39" ht="15.75" thickBot="1">
      <c r="A102" s="2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54" t="str">
        <f t="shared" si="15"/>
        <v/>
      </c>
      <c r="AB102" s="32" t="str">
        <f t="shared" si="16"/>
        <v/>
      </c>
      <c r="AC102" s="32" t="str">
        <f t="shared" si="24"/>
        <v/>
      </c>
      <c r="AD102" s="32" t="str">
        <f t="shared" si="25"/>
        <v/>
      </c>
      <c r="AE102" s="32" t="str">
        <f t="shared" si="29"/>
        <v/>
      </c>
      <c r="AF102" s="33" t="str">
        <f t="shared" si="30"/>
        <v/>
      </c>
      <c r="AG102" s="34" t="str">
        <f t="shared" si="26"/>
        <v/>
      </c>
      <c r="AH102" s="34" t="str">
        <f t="shared" si="27"/>
        <v/>
      </c>
      <c r="AI102" s="77"/>
      <c r="AJ102" s="78" t="str">
        <f t="shared" si="28"/>
        <v/>
      </c>
      <c r="AK102" s="78" t="str">
        <f t="shared" si="21"/>
        <v/>
      </c>
      <c r="AL102" s="73" t="str">
        <f t="shared" si="22"/>
        <v/>
      </c>
      <c r="AM102" s="73" t="str">
        <f t="shared" si="23"/>
        <v/>
      </c>
    </row>
    <row r="103" spans="1:39" ht="15.75" thickBot="1">
      <c r="A103" s="2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54" t="str">
        <f t="shared" si="15"/>
        <v/>
      </c>
      <c r="AB103" s="32" t="str">
        <f t="shared" si="16"/>
        <v/>
      </c>
      <c r="AC103" s="32" t="str">
        <f t="shared" si="24"/>
        <v/>
      </c>
      <c r="AD103" s="32" t="str">
        <f t="shared" si="25"/>
        <v/>
      </c>
      <c r="AE103" s="32" t="str">
        <f t="shared" si="29"/>
        <v/>
      </c>
      <c r="AF103" s="33" t="str">
        <f t="shared" si="30"/>
        <v/>
      </c>
      <c r="AG103" s="34" t="str">
        <f t="shared" si="26"/>
        <v/>
      </c>
      <c r="AH103" s="34" t="str">
        <f t="shared" si="27"/>
        <v/>
      </c>
      <c r="AI103" s="77"/>
      <c r="AJ103" s="78" t="str">
        <f t="shared" si="28"/>
        <v/>
      </c>
      <c r="AK103" s="78" t="str">
        <f t="shared" si="21"/>
        <v/>
      </c>
      <c r="AL103" s="73" t="str">
        <f t="shared" si="22"/>
        <v/>
      </c>
      <c r="AM103" s="73" t="str">
        <f t="shared" si="23"/>
        <v/>
      </c>
    </row>
    <row r="104" spans="1:39" ht="15.75" thickBot="1">
      <c r="A104" s="2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54" t="str">
        <f t="shared" si="15"/>
        <v/>
      </c>
      <c r="AB104" s="32" t="str">
        <f t="shared" si="16"/>
        <v/>
      </c>
      <c r="AC104" s="32" t="str">
        <f t="shared" si="24"/>
        <v/>
      </c>
      <c r="AD104" s="32" t="str">
        <f t="shared" si="25"/>
        <v/>
      </c>
      <c r="AE104" s="32" t="str">
        <f t="shared" si="29"/>
        <v/>
      </c>
      <c r="AF104" s="33" t="str">
        <f t="shared" si="30"/>
        <v/>
      </c>
      <c r="AG104" s="34" t="str">
        <f t="shared" si="26"/>
        <v/>
      </c>
      <c r="AH104" s="34" t="str">
        <f t="shared" si="27"/>
        <v/>
      </c>
      <c r="AI104" s="77"/>
      <c r="AJ104" s="78" t="str">
        <f t="shared" si="28"/>
        <v/>
      </c>
      <c r="AK104" s="78" t="str">
        <f t="shared" ref="AK104:AK116" si="31">IF(SUM(B105:Z105)&gt;0,VLOOKUP(COUNT(B105:Z105),FACTORES,4,FALSE),"")</f>
        <v/>
      </c>
      <c r="AL104" s="73" t="str">
        <f t="shared" ref="AL104:AL116" si="32">IF(SUM(B105:Z105)&gt;0,VLOOKUP(COUNT(B105:Z105),FACTORES,7,FALSE),"")</f>
        <v/>
      </c>
      <c r="AM104" s="73" t="str">
        <f t="shared" ref="AM104:AM116" si="33">IF(SUM(B105:Z105)&gt;0,VLOOKUP(COUNT(B105:Z105),FACTORES,8,FALSE),"")</f>
        <v/>
      </c>
    </row>
    <row r="105" spans="1:39" ht="15.75" thickBot="1">
      <c r="A105" s="2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54" t="str">
        <f t="shared" ref="AA105:AA116" si="34">IF(SUM(B105:Z105)&gt;0,AVERAGE(B105:Z105),"")</f>
        <v/>
      </c>
      <c r="AB105" s="32" t="str">
        <f t="shared" ref="AB105:AB116" si="35">IF(SUM(B105:Z105)&gt;0,AVERAGE($AA$9:$AA$116),"")</f>
        <v/>
      </c>
      <c r="AC105" s="32" t="str">
        <f t="shared" ref="AC105:AC116" si="36">IF(SUM(B105:Z105)&gt;0,AB105+VLOOKUP(COUNT(B105:Z105),FACTORES,4,FALSE)*AF105,"")</f>
        <v/>
      </c>
      <c r="AD105" s="32" t="str">
        <f t="shared" ref="AD105:AD116" si="37">IF(SUM(B105:Z105)&gt;0,AB105-(VLOOKUP(COUNT(B105:Z105),FACTORES,4,FALSE)*AF105),"")</f>
        <v/>
      </c>
      <c r="AE105" s="32" t="str">
        <f t="shared" si="29"/>
        <v/>
      </c>
      <c r="AF105" s="33" t="str">
        <f t="shared" si="30"/>
        <v/>
      </c>
      <c r="AG105" s="34" t="str">
        <f t="shared" ref="AG105:AG116" si="38">IF(SUM(B105:Z105)&gt;0,VLOOKUP(COUNT(B105:Z105),FACTORES,7,FALSE)*AF105,"")</f>
        <v/>
      </c>
      <c r="AH105" s="34" t="str">
        <f t="shared" ref="AH105:AH116" si="39">IF(SUM(B105:Z105)&gt;0,VLOOKUP(COUNT(B105:Z105),FACTORES,6,FALSE)*AF105,"")</f>
        <v/>
      </c>
      <c r="AI105" s="77"/>
      <c r="AJ105" s="78" t="str">
        <f t="shared" si="28"/>
        <v/>
      </c>
      <c r="AK105" s="78" t="str">
        <f t="shared" si="31"/>
        <v/>
      </c>
      <c r="AL105" s="73" t="str">
        <f t="shared" si="32"/>
        <v/>
      </c>
      <c r="AM105" s="73" t="str">
        <f t="shared" si="33"/>
        <v/>
      </c>
    </row>
    <row r="106" spans="1:39" ht="15.75" thickBot="1">
      <c r="A106" s="2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54" t="str">
        <f t="shared" si="34"/>
        <v/>
      </c>
      <c r="AB106" s="32" t="str">
        <f t="shared" si="35"/>
        <v/>
      </c>
      <c r="AC106" s="32" t="str">
        <f t="shared" si="36"/>
        <v/>
      </c>
      <c r="AD106" s="32" t="str">
        <f t="shared" si="37"/>
        <v/>
      </c>
      <c r="AE106" s="32" t="str">
        <f t="shared" si="29"/>
        <v/>
      </c>
      <c r="AF106" s="33" t="str">
        <f t="shared" si="30"/>
        <v/>
      </c>
      <c r="AG106" s="34" t="str">
        <f t="shared" si="38"/>
        <v/>
      </c>
      <c r="AH106" s="34" t="str">
        <f t="shared" si="39"/>
        <v/>
      </c>
      <c r="AI106" s="77"/>
      <c r="AJ106" s="78" t="str">
        <f t="shared" si="28"/>
        <v/>
      </c>
      <c r="AK106" s="78" t="str">
        <f t="shared" si="31"/>
        <v/>
      </c>
      <c r="AL106" s="73" t="str">
        <f t="shared" si="32"/>
        <v/>
      </c>
      <c r="AM106" s="73" t="str">
        <f t="shared" si="33"/>
        <v/>
      </c>
    </row>
    <row r="107" spans="1:39" ht="15.75" thickBot="1">
      <c r="A107" s="2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54" t="str">
        <f t="shared" si="34"/>
        <v/>
      </c>
      <c r="AB107" s="32" t="str">
        <f t="shared" si="35"/>
        <v/>
      </c>
      <c r="AC107" s="32" t="str">
        <f t="shared" si="36"/>
        <v/>
      </c>
      <c r="AD107" s="32" t="str">
        <f t="shared" si="37"/>
        <v/>
      </c>
      <c r="AE107" s="32" t="str">
        <f t="shared" si="29"/>
        <v/>
      </c>
      <c r="AF107" s="33" t="str">
        <f t="shared" si="30"/>
        <v/>
      </c>
      <c r="AG107" s="34" t="str">
        <f t="shared" si="38"/>
        <v/>
      </c>
      <c r="AH107" s="34" t="str">
        <f t="shared" si="39"/>
        <v/>
      </c>
      <c r="AI107" s="77"/>
      <c r="AJ107" s="78" t="str">
        <f t="shared" si="28"/>
        <v/>
      </c>
      <c r="AK107" s="78" t="str">
        <f t="shared" si="31"/>
        <v/>
      </c>
      <c r="AL107" s="73" t="str">
        <f t="shared" si="32"/>
        <v/>
      </c>
      <c r="AM107" s="73" t="str">
        <f t="shared" si="33"/>
        <v/>
      </c>
    </row>
    <row r="108" spans="1:39" ht="15.75" thickBot="1">
      <c r="A108" s="2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54" t="str">
        <f t="shared" si="34"/>
        <v/>
      </c>
      <c r="AB108" s="32" t="str">
        <f t="shared" si="35"/>
        <v/>
      </c>
      <c r="AC108" s="32" t="str">
        <f t="shared" si="36"/>
        <v/>
      </c>
      <c r="AD108" s="32" t="str">
        <f t="shared" si="37"/>
        <v/>
      </c>
      <c r="AE108" s="32" t="str">
        <f t="shared" si="29"/>
        <v/>
      </c>
      <c r="AF108" s="33" t="str">
        <f t="shared" si="30"/>
        <v/>
      </c>
      <c r="AG108" s="34" t="str">
        <f t="shared" si="38"/>
        <v/>
      </c>
      <c r="AH108" s="34" t="str">
        <f t="shared" si="39"/>
        <v/>
      </c>
      <c r="AI108" s="77"/>
      <c r="AJ108" s="78" t="str">
        <f t="shared" si="28"/>
        <v/>
      </c>
      <c r="AK108" s="78" t="str">
        <f t="shared" si="31"/>
        <v/>
      </c>
      <c r="AL108" s="73" t="str">
        <f t="shared" si="32"/>
        <v/>
      </c>
      <c r="AM108" s="73" t="str">
        <f t="shared" si="33"/>
        <v/>
      </c>
    </row>
    <row r="109" spans="1:39" ht="15.75" thickBot="1">
      <c r="A109" s="2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54" t="str">
        <f t="shared" si="34"/>
        <v/>
      </c>
      <c r="AB109" s="32" t="str">
        <f t="shared" si="35"/>
        <v/>
      </c>
      <c r="AC109" s="32" t="str">
        <f t="shared" si="36"/>
        <v/>
      </c>
      <c r="AD109" s="32" t="str">
        <f t="shared" si="37"/>
        <v/>
      </c>
      <c r="AE109" s="32" t="str">
        <f t="shared" si="29"/>
        <v/>
      </c>
      <c r="AF109" s="33" t="str">
        <f t="shared" si="30"/>
        <v/>
      </c>
      <c r="AG109" s="34" t="str">
        <f t="shared" si="38"/>
        <v/>
      </c>
      <c r="AH109" s="34" t="str">
        <f t="shared" si="39"/>
        <v/>
      </c>
      <c r="AI109" s="77"/>
      <c r="AJ109" s="78" t="str">
        <f t="shared" si="28"/>
        <v/>
      </c>
      <c r="AK109" s="78" t="str">
        <f t="shared" si="31"/>
        <v/>
      </c>
      <c r="AL109" s="73" t="str">
        <f t="shared" si="32"/>
        <v/>
      </c>
      <c r="AM109" s="73" t="str">
        <f t="shared" si="33"/>
        <v/>
      </c>
    </row>
    <row r="110" spans="1:39" ht="15.75" thickBot="1">
      <c r="A110" s="2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54" t="str">
        <f t="shared" si="34"/>
        <v/>
      </c>
      <c r="AB110" s="32" t="str">
        <f t="shared" si="35"/>
        <v/>
      </c>
      <c r="AC110" s="32" t="str">
        <f t="shared" si="36"/>
        <v/>
      </c>
      <c r="AD110" s="32" t="str">
        <f t="shared" si="37"/>
        <v/>
      </c>
      <c r="AE110" s="32" t="str">
        <f t="shared" si="29"/>
        <v/>
      </c>
      <c r="AF110" s="33" t="str">
        <f t="shared" si="30"/>
        <v/>
      </c>
      <c r="AG110" s="34" t="str">
        <f t="shared" si="38"/>
        <v/>
      </c>
      <c r="AH110" s="34" t="str">
        <f t="shared" si="39"/>
        <v/>
      </c>
      <c r="AI110" s="77"/>
      <c r="AJ110" s="78" t="str">
        <f t="shared" si="28"/>
        <v/>
      </c>
      <c r="AK110" s="78" t="str">
        <f t="shared" si="31"/>
        <v/>
      </c>
      <c r="AL110" s="73" t="str">
        <f t="shared" si="32"/>
        <v/>
      </c>
      <c r="AM110" s="73" t="str">
        <f t="shared" si="33"/>
        <v/>
      </c>
    </row>
    <row r="111" spans="1:39" ht="15.75" thickBot="1">
      <c r="A111" s="2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54" t="str">
        <f t="shared" si="34"/>
        <v/>
      </c>
      <c r="AB111" s="32" t="str">
        <f t="shared" si="35"/>
        <v/>
      </c>
      <c r="AC111" s="32" t="str">
        <f t="shared" si="36"/>
        <v/>
      </c>
      <c r="AD111" s="32" t="str">
        <f t="shared" si="37"/>
        <v/>
      </c>
      <c r="AE111" s="32" t="str">
        <f t="shared" si="29"/>
        <v/>
      </c>
      <c r="AF111" s="33" t="str">
        <f t="shared" si="30"/>
        <v/>
      </c>
      <c r="AG111" s="34" t="str">
        <f t="shared" si="38"/>
        <v/>
      </c>
      <c r="AH111" s="34" t="str">
        <f t="shared" si="39"/>
        <v/>
      </c>
      <c r="AI111" s="77"/>
      <c r="AJ111" s="78" t="str">
        <f t="shared" si="28"/>
        <v/>
      </c>
      <c r="AK111" s="78" t="str">
        <f t="shared" si="31"/>
        <v/>
      </c>
      <c r="AL111" s="73" t="str">
        <f t="shared" si="32"/>
        <v/>
      </c>
      <c r="AM111" s="73" t="str">
        <f t="shared" si="33"/>
        <v/>
      </c>
    </row>
    <row r="112" spans="1:39" ht="15.75" thickBot="1">
      <c r="A112" s="2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54" t="str">
        <f t="shared" si="34"/>
        <v/>
      </c>
      <c r="AB112" s="32" t="str">
        <f t="shared" si="35"/>
        <v/>
      </c>
      <c r="AC112" s="32" t="str">
        <f t="shared" si="36"/>
        <v/>
      </c>
      <c r="AD112" s="32" t="str">
        <f t="shared" si="37"/>
        <v/>
      </c>
      <c r="AE112" s="32" t="str">
        <f t="shared" si="29"/>
        <v/>
      </c>
      <c r="AF112" s="33" t="str">
        <f t="shared" si="30"/>
        <v/>
      </c>
      <c r="AG112" s="34" t="str">
        <f t="shared" si="38"/>
        <v/>
      </c>
      <c r="AH112" s="34" t="str">
        <f t="shared" si="39"/>
        <v/>
      </c>
      <c r="AI112" s="77"/>
      <c r="AJ112" s="78" t="str">
        <f t="shared" si="28"/>
        <v/>
      </c>
      <c r="AK112" s="78" t="str">
        <f t="shared" si="31"/>
        <v/>
      </c>
      <c r="AL112" s="73" t="str">
        <f t="shared" si="32"/>
        <v/>
      </c>
      <c r="AM112" s="73" t="str">
        <f t="shared" si="33"/>
        <v/>
      </c>
    </row>
    <row r="113" spans="1:39" ht="15.75" thickBot="1">
      <c r="A113" s="2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54" t="str">
        <f t="shared" si="34"/>
        <v/>
      </c>
      <c r="AB113" s="32" t="str">
        <f t="shared" si="35"/>
        <v/>
      </c>
      <c r="AC113" s="32" t="str">
        <f t="shared" si="36"/>
        <v/>
      </c>
      <c r="AD113" s="32" t="str">
        <f t="shared" si="37"/>
        <v/>
      </c>
      <c r="AE113" s="32" t="str">
        <f t="shared" si="29"/>
        <v/>
      </c>
      <c r="AF113" s="33" t="str">
        <f t="shared" si="30"/>
        <v/>
      </c>
      <c r="AG113" s="34" t="str">
        <f t="shared" si="38"/>
        <v/>
      </c>
      <c r="AH113" s="34" t="str">
        <f t="shared" si="39"/>
        <v/>
      </c>
      <c r="AI113" s="77"/>
      <c r="AJ113" s="78" t="str">
        <f t="shared" si="28"/>
        <v/>
      </c>
      <c r="AK113" s="78" t="str">
        <f t="shared" si="31"/>
        <v/>
      </c>
      <c r="AL113" s="73" t="str">
        <f t="shared" si="32"/>
        <v/>
      </c>
      <c r="AM113" s="73" t="str">
        <f t="shared" si="33"/>
        <v/>
      </c>
    </row>
    <row r="114" spans="1:39" ht="15.75" thickBot="1">
      <c r="A114" s="2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54" t="str">
        <f t="shared" si="34"/>
        <v/>
      </c>
      <c r="AB114" s="32" t="str">
        <f t="shared" si="35"/>
        <v/>
      </c>
      <c r="AC114" s="32" t="str">
        <f t="shared" si="36"/>
        <v/>
      </c>
      <c r="AD114" s="32" t="str">
        <f t="shared" si="37"/>
        <v/>
      </c>
      <c r="AE114" s="32" t="str">
        <f t="shared" si="29"/>
        <v/>
      </c>
      <c r="AF114" s="33" t="str">
        <f t="shared" si="30"/>
        <v/>
      </c>
      <c r="AG114" s="34" t="str">
        <f t="shared" si="38"/>
        <v/>
      </c>
      <c r="AH114" s="34" t="str">
        <f t="shared" si="39"/>
        <v/>
      </c>
      <c r="AI114" s="77"/>
      <c r="AJ114" s="78" t="str">
        <f t="shared" si="28"/>
        <v/>
      </c>
      <c r="AK114" s="78" t="str">
        <f t="shared" si="31"/>
        <v/>
      </c>
      <c r="AL114" s="73" t="str">
        <f t="shared" si="32"/>
        <v/>
      </c>
      <c r="AM114" s="73" t="str">
        <f t="shared" si="33"/>
        <v/>
      </c>
    </row>
    <row r="115" spans="1:39" ht="15.75" thickBot="1">
      <c r="A115" s="2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54" t="str">
        <f t="shared" si="34"/>
        <v/>
      </c>
      <c r="AB115" s="32" t="str">
        <f t="shared" si="35"/>
        <v/>
      </c>
      <c r="AC115" s="32" t="str">
        <f t="shared" si="36"/>
        <v/>
      </c>
      <c r="AD115" s="32" t="str">
        <f t="shared" si="37"/>
        <v/>
      </c>
      <c r="AE115" s="32" t="str">
        <f t="shared" si="29"/>
        <v/>
      </c>
      <c r="AF115" s="33" t="str">
        <f t="shared" si="30"/>
        <v/>
      </c>
      <c r="AG115" s="34" t="str">
        <f t="shared" si="38"/>
        <v/>
      </c>
      <c r="AH115" s="34" t="str">
        <f t="shared" si="39"/>
        <v/>
      </c>
      <c r="AI115" s="77"/>
      <c r="AJ115" s="78" t="str">
        <f t="shared" si="28"/>
        <v/>
      </c>
      <c r="AK115" s="78" t="str">
        <f t="shared" si="31"/>
        <v/>
      </c>
      <c r="AL115" s="73" t="str">
        <f t="shared" si="32"/>
        <v/>
      </c>
      <c r="AM115" s="73" t="str">
        <f t="shared" si="33"/>
        <v/>
      </c>
    </row>
    <row r="116" spans="1:39" ht="15.75" thickBot="1">
      <c r="A116" s="2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54" t="str">
        <f t="shared" si="34"/>
        <v/>
      </c>
      <c r="AB116" s="32" t="str">
        <f t="shared" si="35"/>
        <v/>
      </c>
      <c r="AC116" s="32" t="str">
        <f t="shared" si="36"/>
        <v/>
      </c>
      <c r="AD116" s="32" t="str">
        <f t="shared" si="37"/>
        <v/>
      </c>
      <c r="AE116" s="32" t="str">
        <f t="shared" si="29"/>
        <v/>
      </c>
      <c r="AF116" s="33" t="str">
        <f t="shared" si="30"/>
        <v/>
      </c>
      <c r="AG116" s="34" t="str">
        <f t="shared" si="38"/>
        <v/>
      </c>
      <c r="AH116" s="34" t="str">
        <f t="shared" si="39"/>
        <v/>
      </c>
      <c r="AI116" s="77"/>
      <c r="AJ116" s="78" t="str">
        <f t="shared" si="28"/>
        <v/>
      </c>
      <c r="AK116" s="78" t="str">
        <f t="shared" si="31"/>
        <v/>
      </c>
      <c r="AL116" s="73" t="str">
        <f t="shared" si="32"/>
        <v/>
      </c>
      <c r="AM116" s="73" t="str">
        <f t="shared" si="33"/>
        <v/>
      </c>
    </row>
  </sheetData>
  <mergeCells count="10">
    <mergeCell ref="B7:Z7"/>
    <mergeCell ref="AA7:AD7"/>
    <mergeCell ref="AE7:AH7"/>
    <mergeCell ref="AP8:AQ8"/>
    <mergeCell ref="AS8:AT8"/>
    <mergeCell ref="AW8:AX8"/>
    <mergeCell ref="AZ8:BA8"/>
    <mergeCell ref="AR3:AY3"/>
    <mergeCell ref="AO6:AU6"/>
    <mergeCell ref="AV6:BB6"/>
  </mergeCells>
  <conditionalFormatting sqref="AA9:AA116">
    <cfRule type="expression" dxfId="18" priority="1">
      <formula>AA9&lt;AD9</formula>
    </cfRule>
    <cfRule type="expression" dxfId="17" priority="2">
      <formula>AA9&gt;AC9</formula>
    </cfRule>
  </conditionalFormatting>
  <conditionalFormatting sqref="BI5:BI10">
    <cfRule type="expression" dxfId="16" priority="3">
      <formula>"$BE&gt;$BF$5"</formula>
    </cfRule>
  </conditionalFormatting>
  <hyperlinks>
    <hyperlink ref="B2" location="INICIO!A1" display="INICIO" xr:uid="{00000000-0004-0000-0400-000000000000}"/>
    <hyperlink ref="B3" location="'GRÁFICO X-S'!A1" display="ATRÁS" xr:uid="{00000000-0004-0000-0400-000001000000}"/>
    <hyperlink ref="B5" location="RESULTADOSXR" display="RESULTADOS" xr:uid="{00000000-0004-0000-0400-000002000000}"/>
    <hyperlink ref="BD2" location="INICIO!A1" display="INICIO" xr:uid="{00000000-0004-0000-0400-000003000000}"/>
    <hyperlink ref="B4" location="'GRÁFICO I'!A1" display="SIGUIENTE" xr:uid="{00000000-0004-0000-0400-000004000000}"/>
    <hyperlink ref="BD3" location="'GRÁFICO X-S'!A1" display="ATRÁS" xr:uid="{00000000-0004-0000-0400-000005000000}"/>
    <hyperlink ref="BD4" location="'GRÁFICO I'!A1" display="SIGUIENTE" xr:uid="{00000000-0004-0000-0400-000006000000}"/>
  </hyperlinks>
  <pageMargins left="0.7" right="0.7" top="0.75" bottom="0.75" header="0.3" footer="0.3"/>
  <pageSetup paperSize="9" orientation="portrait" horizontalDpi="0" verticalDpi="0" r:id="rId1"/>
  <ignoredErrors>
    <ignoredError sqref="AA10:AB116 AA9:AB9 AH9 AF9 AC10:AF116 AC9:AE9 AG10:AH116 AG9 AJ8:AM116" formulaRange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CC66FF"/>
  </sheetPr>
  <dimension ref="A1:AB117"/>
  <sheetViews>
    <sheetView topLeftCell="A2" zoomScale="95" zoomScaleNormal="95" workbookViewId="0">
      <selection activeCell="G28" sqref="G28"/>
    </sheetView>
  </sheetViews>
  <sheetFormatPr baseColWidth="10" defaultRowHeight="15"/>
  <cols>
    <col min="2" max="2" width="21.28515625" customWidth="1"/>
    <col min="3" max="3" width="15.85546875" customWidth="1"/>
    <col min="4" max="4" width="22" customWidth="1"/>
    <col min="5" max="5" width="22.28515625" customWidth="1"/>
    <col min="7" max="7" width="24.140625" customWidth="1"/>
    <col min="8" max="8" width="18.42578125" customWidth="1"/>
    <col min="14" max="14" width="13.42578125" customWidth="1"/>
    <col min="24" max="24" width="16.85546875" customWidth="1"/>
    <col min="27" max="27" width="17.85546875" customWidth="1"/>
  </cols>
  <sheetData>
    <row r="1" spans="1:28" ht="15.75" thickBot="1">
      <c r="A1" s="84"/>
      <c r="B1" s="84"/>
      <c r="G1" s="247" t="s">
        <v>2</v>
      </c>
      <c r="H1" s="248"/>
      <c r="I1" s="22"/>
      <c r="L1" s="57"/>
      <c r="M1" s="57"/>
      <c r="N1" s="57"/>
      <c r="O1" s="57"/>
      <c r="P1" s="93"/>
      <c r="Q1" s="93"/>
      <c r="R1" s="93"/>
      <c r="S1" s="93"/>
      <c r="T1" s="84"/>
      <c r="U1" s="84"/>
      <c r="V1" s="84"/>
      <c r="W1" s="84"/>
      <c r="X1" s="84"/>
      <c r="Y1" s="84"/>
      <c r="Z1" s="84"/>
      <c r="AA1" s="84"/>
      <c r="AB1" s="84"/>
    </row>
    <row r="2" spans="1:28" ht="19.5" thickBot="1">
      <c r="A2" s="84"/>
      <c r="B2" s="43" t="s">
        <v>27</v>
      </c>
      <c r="G2" s="247" t="s">
        <v>58</v>
      </c>
      <c r="H2" s="248"/>
      <c r="I2" s="72">
        <v>2</v>
      </c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43" t="s">
        <v>27</v>
      </c>
      <c r="AB2" s="84"/>
    </row>
    <row r="3" spans="1:28" ht="24" thickBot="1">
      <c r="A3" s="84"/>
      <c r="B3" s="100" t="s">
        <v>29</v>
      </c>
      <c r="G3" s="50" t="s">
        <v>4</v>
      </c>
      <c r="H3" s="39" t="s">
        <v>22</v>
      </c>
      <c r="I3" s="72">
        <f>VLOOKUP($I$2,FACTORES,14,FALSE)</f>
        <v>0</v>
      </c>
      <c r="L3" s="58"/>
      <c r="M3" s="84"/>
      <c r="N3" s="58"/>
      <c r="O3" s="249" t="s">
        <v>30</v>
      </c>
      <c r="P3" s="250"/>
      <c r="Q3" s="250"/>
      <c r="R3" s="250"/>
      <c r="S3" s="250"/>
      <c r="T3" s="250"/>
      <c r="U3" s="250"/>
      <c r="V3" s="251"/>
      <c r="W3" s="84"/>
      <c r="X3" s="84"/>
      <c r="Y3" s="84"/>
      <c r="Z3" s="84"/>
      <c r="AA3" s="100" t="s">
        <v>29</v>
      </c>
      <c r="AB3" s="84"/>
    </row>
    <row r="4" spans="1:28" ht="24" thickBot="1">
      <c r="A4" s="84"/>
      <c r="B4" s="103" t="s">
        <v>28</v>
      </c>
      <c r="G4" s="51"/>
      <c r="H4" s="39" t="s">
        <v>23</v>
      </c>
      <c r="I4" s="72">
        <f>VLOOKUP($I$2,FACTORES,15,FALSE)</f>
        <v>3.2669999999999999</v>
      </c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103" t="s">
        <v>28</v>
      </c>
      <c r="AB4" s="84"/>
    </row>
    <row r="5" spans="1:28" ht="24" thickBot="1">
      <c r="A5" s="84"/>
      <c r="B5" s="101" t="s">
        <v>30</v>
      </c>
      <c r="G5" s="52"/>
      <c r="H5" s="39" t="s">
        <v>55</v>
      </c>
      <c r="I5" s="72">
        <f>VLOOKUP($I$2,FACTORES,10,FALSE)</f>
        <v>1.1279999999999999</v>
      </c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</row>
    <row r="6" spans="1:28" ht="15.75" thickBot="1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L6" s="252" t="s">
        <v>34</v>
      </c>
      <c r="M6" s="253"/>
      <c r="N6" s="253"/>
      <c r="O6" s="253"/>
      <c r="P6" s="253"/>
      <c r="Q6" s="253"/>
      <c r="R6" s="254"/>
      <c r="S6" s="255" t="s">
        <v>35</v>
      </c>
      <c r="T6" s="256"/>
      <c r="U6" s="256"/>
      <c r="V6" s="256"/>
      <c r="W6" s="256"/>
      <c r="X6" s="256"/>
      <c r="Y6" s="257"/>
      <c r="Z6" s="84"/>
      <c r="AA6" s="84"/>
      <c r="AB6" s="84"/>
    </row>
    <row r="7" spans="1:28" ht="15.75" thickBot="1">
      <c r="A7" s="4"/>
      <c r="B7" s="274" t="s">
        <v>14</v>
      </c>
      <c r="C7" s="270"/>
      <c r="D7" s="270"/>
      <c r="E7" s="273"/>
      <c r="F7" s="262" t="s">
        <v>56</v>
      </c>
      <c r="G7" s="262"/>
      <c r="H7" s="262"/>
      <c r="I7" s="265"/>
      <c r="J7" s="84"/>
      <c r="K7" s="84"/>
      <c r="L7" s="64"/>
      <c r="M7" s="4"/>
      <c r="N7" s="4"/>
      <c r="O7" s="4"/>
      <c r="P7" s="4"/>
      <c r="Q7" s="4"/>
      <c r="R7" s="65"/>
      <c r="S7" s="64"/>
      <c r="T7" s="4"/>
      <c r="U7" s="4"/>
      <c r="V7" s="4"/>
      <c r="W7" s="4"/>
      <c r="X7" s="4"/>
      <c r="Y7" s="65"/>
      <c r="Z7" s="84"/>
      <c r="AA7" s="84"/>
      <c r="AB7" s="84"/>
    </row>
    <row r="8" spans="1:28" ht="15.75" thickBot="1">
      <c r="A8" s="35" t="s">
        <v>0</v>
      </c>
      <c r="B8" s="153" t="s">
        <v>54</v>
      </c>
      <c r="C8" s="28" t="s">
        <v>57</v>
      </c>
      <c r="D8" s="28" t="s">
        <v>5</v>
      </c>
      <c r="E8" s="152" t="s">
        <v>6</v>
      </c>
      <c r="F8" s="28" t="s">
        <v>24</v>
      </c>
      <c r="G8" s="154" t="s">
        <v>25</v>
      </c>
      <c r="H8" s="30" t="s">
        <v>5</v>
      </c>
      <c r="I8" s="31" t="s">
        <v>6</v>
      </c>
      <c r="J8" s="84"/>
      <c r="K8" s="84"/>
      <c r="L8" s="64"/>
      <c r="M8" s="245" t="s">
        <v>33</v>
      </c>
      <c r="N8" s="246"/>
      <c r="O8" s="4"/>
      <c r="P8" s="245" t="s">
        <v>36</v>
      </c>
      <c r="Q8" s="246"/>
      <c r="R8" s="65"/>
      <c r="S8" s="64"/>
      <c r="T8" s="245" t="s">
        <v>33</v>
      </c>
      <c r="U8" s="246"/>
      <c r="V8" s="4"/>
      <c r="W8" s="245" t="s">
        <v>36</v>
      </c>
      <c r="X8" s="246"/>
      <c r="Y8" s="65"/>
      <c r="Z8" s="84"/>
      <c r="AA8" s="84"/>
      <c r="AB8" s="84"/>
    </row>
    <row r="9" spans="1:28" ht="15.75" thickBot="1">
      <c r="A9" s="80">
        <v>1</v>
      </c>
      <c r="B9" s="151">
        <v>3.75</v>
      </c>
      <c r="C9" s="112">
        <f>IF(SUM(B9)&gt;0,AVERAGE($B$9:$B$116),"")</f>
        <v>3.4980000000000007</v>
      </c>
      <c r="D9" s="112">
        <f t="shared" ref="D9:D40" si="0">IF(B9&lt;&gt;0,C9+3*(G9/$I$5),"")</f>
        <v>4.4343918439716319</v>
      </c>
      <c r="E9" s="112">
        <f t="shared" ref="E9:E40" si="1">IF(B9&lt;&gt;0,C9-3*(G9/$I$5),"")</f>
        <v>2.5616081560283694</v>
      </c>
      <c r="F9" s="32"/>
      <c r="G9" s="33">
        <f>IF(B9&lt;&gt;0,AVERAGE($F$9:$F$116),"")</f>
        <v>0.35208333333333325</v>
      </c>
      <c r="H9" s="34">
        <f t="shared" ref="H9:H40" si="2">IF(SUM(B9:B9)&gt;0,$I$4*G9,"")</f>
        <v>1.1502562499999998</v>
      </c>
      <c r="I9" s="34">
        <f t="shared" ref="I9:I40" si="3">IF(SUM(B9:B9)&gt;0,$I$3*G9,"")</f>
        <v>0</v>
      </c>
      <c r="J9" s="84"/>
      <c r="K9" s="84"/>
      <c r="L9" s="64"/>
      <c r="M9" s="63" t="s">
        <v>5</v>
      </c>
      <c r="N9" s="59">
        <f>COUNTIF($B$9:$B$116,"&gt;"&amp;$D$9)</f>
        <v>0</v>
      </c>
      <c r="O9" s="4"/>
      <c r="P9" s="63" t="s">
        <v>37</v>
      </c>
      <c r="Q9" s="59">
        <f>COUNTIF($B$9:$B$116,"&gt;"&amp;$C$9)</f>
        <v>15</v>
      </c>
      <c r="R9" s="65"/>
      <c r="S9" s="64"/>
      <c r="T9" s="63" t="s">
        <v>5</v>
      </c>
      <c r="U9" s="61">
        <f>COUNTIF($F$9:$F$116,"&gt;"&amp;$H$9)</f>
        <v>0</v>
      </c>
      <c r="V9" s="4"/>
      <c r="W9" s="63" t="s">
        <v>5</v>
      </c>
      <c r="X9" s="61">
        <f>COUNTIF($F$9:$F$116,"&gt;"&amp;$G$9)</f>
        <v>12</v>
      </c>
      <c r="Y9" s="65"/>
      <c r="Z9" s="84"/>
      <c r="AA9" s="84"/>
      <c r="AB9" s="84"/>
    </row>
    <row r="10" spans="1:28" ht="15.75" thickBot="1">
      <c r="A10" s="80">
        <v>2</v>
      </c>
      <c r="B10" s="72">
        <v>3.8</v>
      </c>
      <c r="C10" s="32">
        <f t="shared" ref="C10:C73" si="4">IF(SUM(B10)&gt;0,AVERAGE($B$9:$B$116),"")</f>
        <v>3.4980000000000007</v>
      </c>
      <c r="D10" s="32">
        <f t="shared" si="0"/>
        <v>4.4343918439716319</v>
      </c>
      <c r="E10" s="32">
        <f t="shared" si="1"/>
        <v>2.5616081560283694</v>
      </c>
      <c r="F10" s="32">
        <f>IF(AND(B10&lt;&gt;0,$I$2=2),ABS(B9-B10),"")</f>
        <v>4.9999999999999822E-2</v>
      </c>
      <c r="G10" s="33">
        <f t="shared" ref="G10:G41" si="5">IF(SUM(B10:B10)&gt;0,AVERAGE($F$9:$F$116),"")</f>
        <v>0.35208333333333325</v>
      </c>
      <c r="H10" s="34">
        <f t="shared" si="2"/>
        <v>1.1502562499999998</v>
      </c>
      <c r="I10" s="34">
        <f t="shared" si="3"/>
        <v>0</v>
      </c>
      <c r="J10" s="84"/>
      <c r="K10" s="84"/>
      <c r="L10" s="64"/>
      <c r="M10" s="62" t="s">
        <v>6</v>
      </c>
      <c r="N10" s="60">
        <f>COUNTIF(B9:B116,"&lt;"&amp;$E$9)</f>
        <v>0</v>
      </c>
      <c r="O10" s="4"/>
      <c r="P10" s="63" t="s">
        <v>38</v>
      </c>
      <c r="Q10" s="60">
        <f>COUNTIF($B$9:$B$116,"&lt;"&amp;$C$10)</f>
        <v>10</v>
      </c>
      <c r="R10" s="65"/>
      <c r="S10" s="64"/>
      <c r="T10" s="63" t="s">
        <v>6</v>
      </c>
      <c r="U10" s="62">
        <f>COUNTIF($F$9:$F$116,"&lt;"&amp;$I$9)</f>
        <v>0</v>
      </c>
      <c r="V10" s="4"/>
      <c r="W10" s="63" t="s">
        <v>6</v>
      </c>
      <c r="X10" s="62">
        <f>COUNTIF($F$9:$F$116,"&lt;"&amp;$G$9)</f>
        <v>12</v>
      </c>
      <c r="Y10" s="65"/>
      <c r="Z10" s="84"/>
      <c r="AA10" s="84"/>
      <c r="AB10" s="84"/>
    </row>
    <row r="11" spans="1:28" ht="15.75" thickBot="1">
      <c r="A11" s="80">
        <v>3</v>
      </c>
      <c r="B11" s="72">
        <v>3.7</v>
      </c>
      <c r="C11" s="32">
        <f t="shared" si="4"/>
        <v>3.4980000000000007</v>
      </c>
      <c r="D11" s="32">
        <f t="shared" si="0"/>
        <v>4.4343918439716319</v>
      </c>
      <c r="E11" s="32">
        <f t="shared" si="1"/>
        <v>2.5616081560283694</v>
      </c>
      <c r="F11" s="32">
        <f>IF(AND(B11&lt;&gt;0,$I$2&lt;&gt;0),IF($I$2=2,ABS(B10-B11),IF($I$2=3,MAX(B9:B11)-MIN(B9:B11),"")),"")</f>
        <v>9.9999999999999645E-2</v>
      </c>
      <c r="G11" s="33">
        <f t="shared" si="5"/>
        <v>0.35208333333333325</v>
      </c>
      <c r="H11" s="34">
        <f t="shared" si="2"/>
        <v>1.1502562499999998</v>
      </c>
      <c r="I11" s="34">
        <f t="shared" si="3"/>
        <v>0</v>
      </c>
      <c r="J11" s="84"/>
      <c r="K11" s="84"/>
      <c r="L11" s="64"/>
      <c r="M11" s="4"/>
      <c r="N11" s="4"/>
      <c r="O11" s="4"/>
      <c r="P11" s="4"/>
      <c r="Q11" s="4"/>
      <c r="R11" s="65"/>
      <c r="S11" s="64"/>
      <c r="T11" s="4"/>
      <c r="U11" s="4"/>
      <c r="V11" s="4"/>
      <c r="W11" s="4"/>
      <c r="X11" s="4"/>
      <c r="Y11" s="65"/>
      <c r="Z11" s="84"/>
      <c r="AA11" s="84"/>
      <c r="AB11" s="84"/>
    </row>
    <row r="12" spans="1:28" ht="15.75" thickBot="1">
      <c r="A12" s="80">
        <v>4</v>
      </c>
      <c r="B12" s="72">
        <v>3.2</v>
      </c>
      <c r="C12" s="32">
        <f t="shared" si="4"/>
        <v>3.4980000000000007</v>
      </c>
      <c r="D12" s="32">
        <f t="shared" si="0"/>
        <v>4.4343918439716319</v>
      </c>
      <c r="E12" s="32">
        <f t="shared" si="1"/>
        <v>2.5616081560283694</v>
      </c>
      <c r="F12" s="32">
        <f>IF(AND(B12&lt;&gt;0,$I$2&lt;&gt;0),IF($I$2=2,ABS(B11-B12),IF($I$2=3,MAX(B10:B12)-MIN(B10:B12),IF($I$2=4,MAX(B9:B12)-MIN(B9:B12),""))),"")</f>
        <v>0.5</v>
      </c>
      <c r="G12" s="33">
        <f t="shared" si="5"/>
        <v>0.35208333333333325</v>
      </c>
      <c r="H12" s="34">
        <f t="shared" si="2"/>
        <v>1.1502562499999998</v>
      </c>
      <c r="I12" s="34">
        <f t="shared" si="3"/>
        <v>0</v>
      </c>
      <c r="J12" s="84"/>
      <c r="K12" s="84"/>
      <c r="L12" s="64"/>
      <c r="M12" s="4"/>
      <c r="N12" s="4"/>
      <c r="O12" s="4"/>
      <c r="P12" s="88" t="s">
        <v>42</v>
      </c>
      <c r="Q12" s="89">
        <f>SUM(Q9:Q10)</f>
        <v>25</v>
      </c>
      <c r="R12" s="65"/>
      <c r="S12" s="64"/>
      <c r="T12" s="4"/>
      <c r="U12" s="4"/>
      <c r="V12" s="4"/>
      <c r="W12" s="88" t="s">
        <v>42</v>
      </c>
      <c r="X12" s="89">
        <f>SUM(X9:X10)</f>
        <v>24</v>
      </c>
      <c r="Y12" s="65"/>
      <c r="Z12" s="84"/>
      <c r="AA12" s="84"/>
      <c r="AB12" s="84"/>
    </row>
    <row r="13" spans="1:28" ht="15.75" thickBot="1">
      <c r="A13" s="80">
        <v>5</v>
      </c>
      <c r="B13" s="72">
        <v>3.5</v>
      </c>
      <c r="C13" s="32">
        <f t="shared" si="4"/>
        <v>3.4980000000000007</v>
      </c>
      <c r="D13" s="32">
        <f t="shared" si="0"/>
        <v>4.4343918439716319</v>
      </c>
      <c r="E13" s="32">
        <f t="shared" si="1"/>
        <v>2.5616081560283694</v>
      </c>
      <c r="F13" s="32">
        <f t="shared" ref="F13:F44" si="6">IF(AND(B13&lt;&gt;0,$I$2&lt;&gt;0),IF($I$2=2,ABS(B12-B13),IF($I$2=3,MAX(B11:B13)-MIN(B11:B13),IF($I$2=4,MAX(B10:B13)-MIN(B10:B13),IF($I$2=5,MAX(B9:B13)-MIN(B9:B13),"")))),"")</f>
        <v>0.29999999999999982</v>
      </c>
      <c r="G13" s="33">
        <f t="shared" si="5"/>
        <v>0.35208333333333325</v>
      </c>
      <c r="H13" s="34">
        <f t="shared" si="2"/>
        <v>1.1502562499999998</v>
      </c>
      <c r="I13" s="34">
        <f t="shared" si="3"/>
        <v>0</v>
      </c>
      <c r="J13" s="84"/>
      <c r="K13" s="84"/>
      <c r="L13" s="64"/>
      <c r="M13" s="4"/>
      <c r="N13" s="4"/>
      <c r="O13" s="4"/>
      <c r="P13" s="4"/>
      <c r="Q13" s="4"/>
      <c r="R13" s="65"/>
      <c r="S13" s="64"/>
      <c r="T13" s="4"/>
      <c r="U13" s="4"/>
      <c r="V13" s="4"/>
      <c r="W13" s="4"/>
      <c r="X13" s="4"/>
      <c r="Y13" s="65"/>
      <c r="Z13" s="84"/>
      <c r="AA13" s="84"/>
      <c r="AB13" s="84"/>
    </row>
    <row r="14" spans="1:28" ht="15.75" thickBot="1">
      <c r="A14" s="80">
        <v>6</v>
      </c>
      <c r="B14" s="72">
        <v>3.05</v>
      </c>
      <c r="C14" s="32">
        <f t="shared" si="4"/>
        <v>3.4980000000000007</v>
      </c>
      <c r="D14" s="32">
        <f t="shared" si="0"/>
        <v>4.4343918439716319</v>
      </c>
      <c r="E14" s="32">
        <f t="shared" si="1"/>
        <v>2.5616081560283694</v>
      </c>
      <c r="F14" s="32">
        <f t="shared" si="6"/>
        <v>0.45000000000000018</v>
      </c>
      <c r="G14" s="33">
        <f t="shared" si="5"/>
        <v>0.35208333333333325</v>
      </c>
      <c r="H14" s="34">
        <f t="shared" si="2"/>
        <v>1.1502562499999998</v>
      </c>
      <c r="I14" s="34">
        <f t="shared" si="3"/>
        <v>0</v>
      </c>
      <c r="J14" s="84"/>
      <c r="K14" s="84"/>
      <c r="L14" s="64"/>
      <c r="M14" s="4"/>
      <c r="N14" s="4"/>
      <c r="O14" s="4"/>
      <c r="P14" s="4"/>
      <c r="Q14" s="4"/>
      <c r="R14" s="65"/>
      <c r="S14" s="64"/>
      <c r="T14" s="4"/>
      <c r="U14" s="4"/>
      <c r="V14" s="4"/>
      <c r="W14" s="4"/>
      <c r="X14" s="4"/>
      <c r="Y14" s="65"/>
      <c r="Z14" s="84"/>
      <c r="AA14" s="84"/>
      <c r="AB14" s="84"/>
    </row>
    <row r="15" spans="1:28" ht="15.75" thickBot="1">
      <c r="A15" s="80">
        <v>7</v>
      </c>
      <c r="B15" s="72">
        <v>3.5</v>
      </c>
      <c r="C15" s="32">
        <f t="shared" si="4"/>
        <v>3.4980000000000007</v>
      </c>
      <c r="D15" s="32">
        <f t="shared" si="0"/>
        <v>4.4343918439716319</v>
      </c>
      <c r="E15" s="32">
        <f t="shared" si="1"/>
        <v>2.5616081560283694</v>
      </c>
      <c r="F15" s="32">
        <f t="shared" si="6"/>
        <v>0.45000000000000018</v>
      </c>
      <c r="G15" s="33">
        <f t="shared" si="5"/>
        <v>0.35208333333333325</v>
      </c>
      <c r="H15" s="34">
        <f t="shared" si="2"/>
        <v>1.1502562499999998</v>
      </c>
      <c r="I15" s="34">
        <f t="shared" si="3"/>
        <v>0</v>
      </c>
      <c r="J15" s="84"/>
      <c r="K15" s="84"/>
      <c r="L15" s="64"/>
      <c r="M15" s="4"/>
      <c r="N15" s="4"/>
      <c r="O15" s="4"/>
      <c r="P15" s="4"/>
      <c r="Q15" s="4"/>
      <c r="R15" s="65"/>
      <c r="S15" s="64"/>
      <c r="T15" s="4"/>
      <c r="U15" s="4"/>
      <c r="V15" s="4"/>
      <c r="W15" s="4"/>
      <c r="X15" s="4"/>
      <c r="Y15" s="65"/>
      <c r="Z15" s="84"/>
      <c r="AA15" s="84"/>
      <c r="AB15" s="84"/>
    </row>
    <row r="16" spans="1:28" ht="15.75" thickBot="1">
      <c r="A16" s="80">
        <v>8</v>
      </c>
      <c r="B16" s="72">
        <v>3.25</v>
      </c>
      <c r="C16" s="32">
        <f t="shared" si="4"/>
        <v>3.4980000000000007</v>
      </c>
      <c r="D16" s="32">
        <f t="shared" si="0"/>
        <v>4.4343918439716319</v>
      </c>
      <c r="E16" s="32">
        <f t="shared" si="1"/>
        <v>2.5616081560283694</v>
      </c>
      <c r="F16" s="32">
        <f t="shared" si="6"/>
        <v>0.25</v>
      </c>
      <c r="G16" s="33">
        <f t="shared" si="5"/>
        <v>0.35208333333333325</v>
      </c>
      <c r="H16" s="34">
        <f t="shared" si="2"/>
        <v>1.1502562499999998</v>
      </c>
      <c r="I16" s="34">
        <f t="shared" si="3"/>
        <v>0</v>
      </c>
      <c r="J16" s="84"/>
      <c r="K16" s="84"/>
      <c r="L16" s="64"/>
      <c r="M16" s="4"/>
      <c r="N16" s="4"/>
      <c r="O16" s="4"/>
      <c r="P16" s="4"/>
      <c r="Q16" s="4"/>
      <c r="R16" s="65"/>
      <c r="S16" s="64"/>
      <c r="T16" s="4"/>
      <c r="U16" s="4"/>
      <c r="V16" s="4"/>
      <c r="W16" s="4"/>
      <c r="X16" s="4"/>
      <c r="Y16" s="65"/>
      <c r="Z16" s="84"/>
      <c r="AA16" s="84"/>
      <c r="AB16" s="84"/>
    </row>
    <row r="17" spans="1:28" ht="15.75" thickBot="1">
      <c r="A17" s="80">
        <v>9</v>
      </c>
      <c r="B17" s="72">
        <v>3.6</v>
      </c>
      <c r="C17" s="32">
        <f t="shared" si="4"/>
        <v>3.4980000000000007</v>
      </c>
      <c r="D17" s="32">
        <f t="shared" si="0"/>
        <v>4.4343918439716319</v>
      </c>
      <c r="E17" s="32">
        <f t="shared" si="1"/>
        <v>2.5616081560283694</v>
      </c>
      <c r="F17" s="32">
        <f t="shared" si="6"/>
        <v>0.35000000000000009</v>
      </c>
      <c r="G17" s="33">
        <f t="shared" si="5"/>
        <v>0.35208333333333325</v>
      </c>
      <c r="H17" s="34">
        <f t="shared" si="2"/>
        <v>1.1502562499999998</v>
      </c>
      <c r="I17" s="34">
        <f t="shared" si="3"/>
        <v>0</v>
      </c>
      <c r="J17" s="84"/>
      <c r="K17" s="84"/>
      <c r="L17" s="64"/>
      <c r="M17" s="4"/>
      <c r="N17" s="4"/>
      <c r="O17" s="4"/>
      <c r="P17" s="4"/>
      <c r="Q17" s="4"/>
      <c r="R17" s="65"/>
      <c r="S17" s="64"/>
      <c r="T17" s="4"/>
      <c r="U17" s="4"/>
      <c r="V17" s="4"/>
      <c r="W17" s="4"/>
      <c r="X17" s="4"/>
      <c r="Y17" s="65"/>
      <c r="Z17" s="84"/>
      <c r="AA17" s="84"/>
      <c r="AB17" s="84"/>
    </row>
    <row r="18" spans="1:28" ht="15.75" thickBot="1">
      <c r="A18" s="80">
        <v>10</v>
      </c>
      <c r="B18" s="72">
        <v>3.1</v>
      </c>
      <c r="C18" s="32">
        <f t="shared" si="4"/>
        <v>3.4980000000000007</v>
      </c>
      <c r="D18" s="32">
        <f t="shared" si="0"/>
        <v>4.4343918439716319</v>
      </c>
      <c r="E18" s="32">
        <f t="shared" si="1"/>
        <v>2.5616081560283694</v>
      </c>
      <c r="F18" s="32">
        <f t="shared" si="6"/>
        <v>0.5</v>
      </c>
      <c r="G18" s="33">
        <f t="shared" si="5"/>
        <v>0.35208333333333325</v>
      </c>
      <c r="H18" s="34">
        <f t="shared" si="2"/>
        <v>1.1502562499999998</v>
      </c>
      <c r="I18" s="34">
        <f t="shared" si="3"/>
        <v>0</v>
      </c>
      <c r="J18" s="84"/>
      <c r="K18" s="84"/>
      <c r="L18" s="64"/>
      <c r="M18" s="4"/>
      <c r="N18" s="4"/>
      <c r="O18" s="4"/>
      <c r="P18" s="4"/>
      <c r="Q18" s="4"/>
      <c r="R18" s="65"/>
      <c r="S18" s="64"/>
      <c r="T18" s="4"/>
      <c r="U18" s="4"/>
      <c r="V18" s="4"/>
      <c r="W18" s="4"/>
      <c r="X18" s="4"/>
      <c r="Y18" s="65"/>
      <c r="Z18" s="84"/>
      <c r="AA18" s="84"/>
      <c r="AB18" s="84"/>
    </row>
    <row r="19" spans="1:28" ht="15.75" thickBot="1">
      <c r="A19" s="80">
        <v>11</v>
      </c>
      <c r="B19" s="24">
        <v>4</v>
      </c>
      <c r="C19" s="32">
        <f t="shared" si="4"/>
        <v>3.4980000000000007</v>
      </c>
      <c r="D19" s="32">
        <f t="shared" si="0"/>
        <v>4.4343918439716319</v>
      </c>
      <c r="E19" s="32">
        <f t="shared" si="1"/>
        <v>2.5616081560283694</v>
      </c>
      <c r="F19" s="32">
        <f t="shared" si="6"/>
        <v>0.89999999999999991</v>
      </c>
      <c r="G19" s="33">
        <f t="shared" si="5"/>
        <v>0.35208333333333325</v>
      </c>
      <c r="H19" s="34">
        <f t="shared" si="2"/>
        <v>1.1502562499999998</v>
      </c>
      <c r="I19" s="34">
        <f t="shared" si="3"/>
        <v>0</v>
      </c>
      <c r="J19" s="84"/>
      <c r="K19" s="84"/>
      <c r="L19" s="64"/>
      <c r="M19" s="4"/>
      <c r="N19" s="4"/>
      <c r="O19" s="4"/>
      <c r="P19" s="4"/>
      <c r="Q19" s="4"/>
      <c r="R19" s="65"/>
      <c r="S19" s="64"/>
      <c r="T19" s="4"/>
      <c r="U19" s="4"/>
      <c r="V19" s="4"/>
      <c r="W19" s="4"/>
      <c r="X19" s="4"/>
      <c r="Y19" s="65"/>
      <c r="Z19" s="84"/>
      <c r="AA19" s="84"/>
      <c r="AB19" s="84"/>
    </row>
    <row r="20" spans="1:28" ht="15.75" thickBot="1">
      <c r="A20" s="80">
        <v>12</v>
      </c>
      <c r="B20" s="23">
        <v>4</v>
      </c>
      <c r="C20" s="32">
        <f t="shared" si="4"/>
        <v>3.4980000000000007</v>
      </c>
      <c r="D20" s="32">
        <f t="shared" si="0"/>
        <v>4.4343918439716319</v>
      </c>
      <c r="E20" s="32">
        <f t="shared" si="1"/>
        <v>2.5616081560283694</v>
      </c>
      <c r="F20" s="32">
        <f t="shared" si="6"/>
        <v>0</v>
      </c>
      <c r="G20" s="33">
        <f t="shared" si="5"/>
        <v>0.35208333333333325</v>
      </c>
      <c r="H20" s="34">
        <f t="shared" si="2"/>
        <v>1.1502562499999998</v>
      </c>
      <c r="I20" s="34">
        <f t="shared" si="3"/>
        <v>0</v>
      </c>
      <c r="J20" s="84"/>
      <c r="K20" s="84"/>
      <c r="L20" s="64"/>
      <c r="M20" s="4"/>
      <c r="N20" s="4"/>
      <c r="O20" s="4"/>
      <c r="P20" s="4"/>
      <c r="Q20" s="4"/>
      <c r="R20" s="65"/>
      <c r="S20" s="64"/>
      <c r="T20" s="4"/>
      <c r="U20" s="4"/>
      <c r="V20" s="4"/>
      <c r="W20" s="4"/>
      <c r="X20" s="4"/>
      <c r="Y20" s="65"/>
      <c r="Z20" s="84"/>
      <c r="AA20" s="84"/>
      <c r="AB20" s="84"/>
    </row>
    <row r="21" spans="1:28" ht="15.75" thickBot="1">
      <c r="A21" s="80">
        <v>13</v>
      </c>
      <c r="B21" s="23">
        <v>3.5</v>
      </c>
      <c r="C21" s="32">
        <f t="shared" si="4"/>
        <v>3.4980000000000007</v>
      </c>
      <c r="D21" s="32">
        <f t="shared" si="0"/>
        <v>4.4343918439716319</v>
      </c>
      <c r="E21" s="32">
        <f t="shared" si="1"/>
        <v>2.5616081560283694</v>
      </c>
      <c r="F21" s="32">
        <f t="shared" si="6"/>
        <v>0.5</v>
      </c>
      <c r="G21" s="33">
        <f t="shared" si="5"/>
        <v>0.35208333333333325</v>
      </c>
      <c r="H21" s="34">
        <f t="shared" si="2"/>
        <v>1.1502562499999998</v>
      </c>
      <c r="I21" s="34">
        <f t="shared" si="3"/>
        <v>0</v>
      </c>
      <c r="J21" s="84"/>
      <c r="K21" s="84"/>
      <c r="L21" s="64"/>
      <c r="M21" s="4"/>
      <c r="N21" s="4"/>
      <c r="O21" s="4"/>
      <c r="P21" s="4"/>
      <c r="Q21" s="4"/>
      <c r="R21" s="65"/>
      <c r="S21" s="64"/>
      <c r="T21" s="4"/>
      <c r="U21" s="4"/>
      <c r="V21" s="4"/>
      <c r="W21" s="4"/>
      <c r="X21" s="4"/>
      <c r="Y21" s="65"/>
      <c r="Z21" s="84"/>
      <c r="AA21" s="84"/>
      <c r="AB21" s="84"/>
    </row>
    <row r="22" spans="1:28" ht="15.75" thickBot="1">
      <c r="A22" s="80">
        <v>14</v>
      </c>
      <c r="B22" s="23">
        <v>3</v>
      </c>
      <c r="C22" s="32">
        <f t="shared" si="4"/>
        <v>3.4980000000000007</v>
      </c>
      <c r="D22" s="32">
        <f t="shared" si="0"/>
        <v>4.4343918439716319</v>
      </c>
      <c r="E22" s="32">
        <f t="shared" si="1"/>
        <v>2.5616081560283694</v>
      </c>
      <c r="F22" s="32">
        <f t="shared" si="6"/>
        <v>0.5</v>
      </c>
      <c r="G22" s="33">
        <f t="shared" si="5"/>
        <v>0.35208333333333325</v>
      </c>
      <c r="H22" s="34">
        <f t="shared" si="2"/>
        <v>1.1502562499999998</v>
      </c>
      <c r="I22" s="34">
        <f t="shared" si="3"/>
        <v>0</v>
      </c>
      <c r="J22" s="84"/>
      <c r="K22" s="84"/>
      <c r="L22" s="64"/>
      <c r="M22" s="4"/>
      <c r="N22" s="4"/>
      <c r="O22" s="4"/>
      <c r="P22" s="4"/>
      <c r="Q22" s="4"/>
      <c r="R22" s="65"/>
      <c r="S22" s="64"/>
      <c r="T22" s="4"/>
      <c r="U22" s="4"/>
      <c r="V22" s="4"/>
      <c r="W22" s="4"/>
      <c r="X22" s="4"/>
      <c r="Y22" s="65"/>
      <c r="Z22" s="84"/>
      <c r="AA22" s="84"/>
      <c r="AB22" s="84"/>
    </row>
    <row r="23" spans="1:28" ht="15.75" thickBot="1">
      <c r="A23" s="80">
        <v>15</v>
      </c>
      <c r="B23" s="23">
        <v>3.8</v>
      </c>
      <c r="C23" s="32">
        <f t="shared" si="4"/>
        <v>3.4980000000000007</v>
      </c>
      <c r="D23" s="32">
        <f t="shared" si="0"/>
        <v>4.4343918439716319</v>
      </c>
      <c r="E23" s="32">
        <f t="shared" si="1"/>
        <v>2.5616081560283694</v>
      </c>
      <c r="F23" s="32">
        <f t="shared" si="6"/>
        <v>0.79999999999999982</v>
      </c>
      <c r="G23" s="33">
        <f t="shared" si="5"/>
        <v>0.35208333333333325</v>
      </c>
      <c r="H23" s="34">
        <f t="shared" si="2"/>
        <v>1.1502562499999998</v>
      </c>
      <c r="I23" s="34">
        <f t="shared" si="3"/>
        <v>0</v>
      </c>
      <c r="J23" s="84"/>
      <c r="K23" s="84"/>
      <c r="L23" s="64"/>
      <c r="M23" s="4"/>
      <c r="N23" s="4"/>
      <c r="O23" s="4"/>
      <c r="P23" s="4"/>
      <c r="Q23" s="4"/>
      <c r="R23" s="65"/>
      <c r="S23" s="64"/>
      <c r="T23" s="4"/>
      <c r="U23" s="4"/>
      <c r="V23" s="4"/>
      <c r="W23" s="4"/>
      <c r="X23" s="4"/>
      <c r="Y23" s="65"/>
      <c r="Z23" s="84"/>
      <c r="AA23" s="84"/>
      <c r="AB23" s="84"/>
    </row>
    <row r="24" spans="1:28" ht="15.75" thickBot="1">
      <c r="A24" s="80">
        <v>16</v>
      </c>
      <c r="B24" s="23">
        <v>3.4</v>
      </c>
      <c r="C24" s="32">
        <f t="shared" si="4"/>
        <v>3.4980000000000007</v>
      </c>
      <c r="D24" s="32">
        <f t="shared" si="0"/>
        <v>4.4343918439716319</v>
      </c>
      <c r="E24" s="32">
        <f t="shared" si="1"/>
        <v>2.5616081560283694</v>
      </c>
      <c r="F24" s="32">
        <f t="shared" si="6"/>
        <v>0.39999999999999991</v>
      </c>
      <c r="G24" s="33">
        <f t="shared" si="5"/>
        <v>0.35208333333333325</v>
      </c>
      <c r="H24" s="34">
        <f t="shared" si="2"/>
        <v>1.1502562499999998</v>
      </c>
      <c r="I24" s="34">
        <f t="shared" si="3"/>
        <v>0</v>
      </c>
      <c r="J24" s="84"/>
      <c r="K24" s="84"/>
      <c r="L24" s="64"/>
      <c r="M24" s="4"/>
      <c r="N24" s="4"/>
      <c r="O24" s="4"/>
      <c r="P24" s="4"/>
      <c r="Q24" s="4"/>
      <c r="R24" s="65"/>
      <c r="S24" s="64"/>
      <c r="T24" s="4"/>
      <c r="U24" s="4"/>
      <c r="V24" s="4"/>
      <c r="W24" s="4"/>
      <c r="X24" s="4"/>
      <c r="Y24" s="65"/>
      <c r="Z24" s="84"/>
      <c r="AA24" s="84"/>
      <c r="AB24" s="84"/>
    </row>
    <row r="25" spans="1:28" ht="15.75" thickBot="1">
      <c r="A25" s="80">
        <v>17</v>
      </c>
      <c r="B25" s="23">
        <v>3.6</v>
      </c>
      <c r="C25" s="32">
        <f t="shared" si="4"/>
        <v>3.4980000000000007</v>
      </c>
      <c r="D25" s="32">
        <f t="shared" si="0"/>
        <v>4.4343918439716319</v>
      </c>
      <c r="E25" s="32">
        <f t="shared" si="1"/>
        <v>2.5616081560283694</v>
      </c>
      <c r="F25" s="32">
        <f t="shared" si="6"/>
        <v>0.20000000000000018</v>
      </c>
      <c r="G25" s="33">
        <f t="shared" si="5"/>
        <v>0.35208333333333325</v>
      </c>
      <c r="H25" s="34">
        <f t="shared" si="2"/>
        <v>1.1502562499999998</v>
      </c>
      <c r="I25" s="34">
        <f t="shared" si="3"/>
        <v>0</v>
      </c>
      <c r="J25" s="84"/>
      <c r="K25" s="84"/>
      <c r="L25" s="64"/>
      <c r="M25" s="4"/>
      <c r="N25" s="4"/>
      <c r="O25" s="4"/>
      <c r="P25" s="4"/>
      <c r="Q25" s="4"/>
      <c r="R25" s="65"/>
      <c r="S25" s="64"/>
      <c r="T25" s="4"/>
      <c r="U25" s="4"/>
      <c r="V25" s="4"/>
      <c r="W25" s="4"/>
      <c r="X25" s="4"/>
      <c r="Y25" s="65"/>
      <c r="Z25" s="84"/>
      <c r="AA25" s="84"/>
      <c r="AB25" s="84"/>
    </row>
    <row r="26" spans="1:28" ht="15.75" thickBot="1">
      <c r="A26" s="80">
        <v>18</v>
      </c>
      <c r="B26" s="23">
        <v>3.1</v>
      </c>
      <c r="C26" s="32">
        <f t="shared" si="4"/>
        <v>3.4980000000000007</v>
      </c>
      <c r="D26" s="32">
        <f t="shared" si="0"/>
        <v>4.4343918439716319</v>
      </c>
      <c r="E26" s="32">
        <f t="shared" si="1"/>
        <v>2.5616081560283694</v>
      </c>
      <c r="F26" s="32">
        <f t="shared" si="6"/>
        <v>0.5</v>
      </c>
      <c r="G26" s="33">
        <f t="shared" si="5"/>
        <v>0.35208333333333325</v>
      </c>
      <c r="H26" s="34">
        <f t="shared" si="2"/>
        <v>1.1502562499999998</v>
      </c>
      <c r="I26" s="34">
        <f t="shared" si="3"/>
        <v>0</v>
      </c>
      <c r="J26" s="84"/>
      <c r="K26" s="84"/>
      <c r="L26" s="64"/>
      <c r="M26" s="4"/>
      <c r="N26" s="4"/>
      <c r="O26" s="4"/>
      <c r="P26" s="4"/>
      <c r="Q26" s="4"/>
      <c r="R26" s="65"/>
      <c r="S26" s="64"/>
      <c r="T26" s="4"/>
      <c r="U26" s="4"/>
      <c r="V26" s="4"/>
      <c r="W26" s="4"/>
      <c r="X26" s="4"/>
      <c r="Y26" s="65"/>
      <c r="Z26" s="84"/>
      <c r="AA26" s="84"/>
      <c r="AB26" s="84"/>
    </row>
    <row r="27" spans="1:28" ht="15.75" thickBot="1">
      <c r="A27" s="80">
        <v>19</v>
      </c>
      <c r="B27" s="23">
        <v>3.55</v>
      </c>
      <c r="C27" s="32">
        <f t="shared" si="4"/>
        <v>3.4980000000000007</v>
      </c>
      <c r="D27" s="32">
        <f t="shared" si="0"/>
        <v>4.4343918439716319</v>
      </c>
      <c r="E27" s="32">
        <f t="shared" si="1"/>
        <v>2.5616081560283694</v>
      </c>
      <c r="F27" s="32">
        <f t="shared" si="6"/>
        <v>0.44999999999999973</v>
      </c>
      <c r="G27" s="33">
        <f t="shared" si="5"/>
        <v>0.35208333333333325</v>
      </c>
      <c r="H27" s="34">
        <f t="shared" si="2"/>
        <v>1.1502562499999998</v>
      </c>
      <c r="I27" s="34">
        <f t="shared" si="3"/>
        <v>0</v>
      </c>
      <c r="J27" s="84"/>
      <c r="K27" s="84"/>
      <c r="L27" s="64"/>
      <c r="M27" s="4"/>
      <c r="N27" s="4"/>
      <c r="O27" s="4"/>
      <c r="P27" s="4"/>
      <c r="Q27" s="4"/>
      <c r="R27" s="65"/>
      <c r="S27" s="64"/>
      <c r="T27" s="4"/>
      <c r="U27" s="4"/>
      <c r="V27" s="4"/>
      <c r="W27" s="4"/>
      <c r="X27" s="4"/>
      <c r="Y27" s="65"/>
      <c r="Z27" s="84"/>
      <c r="AA27" s="84"/>
      <c r="AB27" s="84"/>
    </row>
    <row r="28" spans="1:28" ht="15.75" thickBot="1">
      <c r="A28" s="80">
        <v>20</v>
      </c>
      <c r="B28" s="23">
        <v>3.65</v>
      </c>
      <c r="C28" s="32">
        <f t="shared" si="4"/>
        <v>3.4980000000000007</v>
      </c>
      <c r="D28" s="32">
        <f t="shared" si="0"/>
        <v>4.4343918439716319</v>
      </c>
      <c r="E28" s="32">
        <f t="shared" si="1"/>
        <v>2.5616081560283694</v>
      </c>
      <c r="F28" s="32">
        <f t="shared" si="6"/>
        <v>0.10000000000000009</v>
      </c>
      <c r="G28" s="33">
        <f t="shared" si="5"/>
        <v>0.35208333333333325</v>
      </c>
      <c r="H28" s="34">
        <f t="shared" si="2"/>
        <v>1.1502562499999998</v>
      </c>
      <c r="I28" s="34">
        <f t="shared" si="3"/>
        <v>0</v>
      </c>
      <c r="J28" s="84"/>
      <c r="K28" s="84"/>
      <c r="L28" s="64"/>
      <c r="M28" s="4"/>
      <c r="N28" s="4"/>
      <c r="O28" s="4"/>
      <c r="P28" s="4"/>
      <c r="Q28" s="4"/>
      <c r="R28" s="65"/>
      <c r="S28" s="64"/>
      <c r="T28" s="4"/>
      <c r="U28" s="4"/>
      <c r="V28" s="4"/>
      <c r="W28" s="4"/>
      <c r="X28" s="4"/>
      <c r="Y28" s="65"/>
      <c r="Z28" s="84"/>
      <c r="AA28" s="84"/>
      <c r="AB28" s="84"/>
    </row>
    <row r="29" spans="1:28" ht="15.75" thickBot="1">
      <c r="A29" s="80">
        <v>21</v>
      </c>
      <c r="B29" s="23">
        <v>3.45</v>
      </c>
      <c r="C29" s="32">
        <f t="shared" si="4"/>
        <v>3.4980000000000007</v>
      </c>
      <c r="D29" s="32">
        <f t="shared" si="0"/>
        <v>4.4343918439716319</v>
      </c>
      <c r="E29" s="32">
        <f t="shared" si="1"/>
        <v>2.5616081560283694</v>
      </c>
      <c r="F29" s="32">
        <f t="shared" si="6"/>
        <v>0.19999999999999973</v>
      </c>
      <c r="G29" s="33">
        <f t="shared" si="5"/>
        <v>0.35208333333333325</v>
      </c>
      <c r="H29" s="34">
        <f t="shared" si="2"/>
        <v>1.1502562499999998</v>
      </c>
      <c r="I29" s="34">
        <f t="shared" si="3"/>
        <v>0</v>
      </c>
      <c r="J29" s="84"/>
      <c r="K29" s="84"/>
      <c r="L29" s="64"/>
      <c r="M29" s="4"/>
      <c r="N29" s="4"/>
      <c r="O29" s="4"/>
      <c r="P29" s="4"/>
      <c r="Q29" s="4"/>
      <c r="R29" s="65"/>
      <c r="S29" s="64"/>
      <c r="T29" s="4"/>
      <c r="U29" s="4"/>
      <c r="V29" s="4"/>
      <c r="W29" s="4"/>
      <c r="X29" s="4"/>
      <c r="Y29" s="65"/>
      <c r="Z29" s="84"/>
      <c r="AA29" s="84"/>
      <c r="AB29" s="84"/>
    </row>
    <row r="30" spans="1:28" ht="15.75" thickBot="1">
      <c r="A30" s="80">
        <v>22</v>
      </c>
      <c r="B30" s="23">
        <v>3.3</v>
      </c>
      <c r="C30" s="32">
        <f t="shared" si="4"/>
        <v>3.4980000000000007</v>
      </c>
      <c r="D30" s="32">
        <f t="shared" si="0"/>
        <v>4.4343918439716319</v>
      </c>
      <c r="E30" s="32">
        <f t="shared" si="1"/>
        <v>2.5616081560283694</v>
      </c>
      <c r="F30" s="32">
        <f t="shared" si="6"/>
        <v>0.15000000000000036</v>
      </c>
      <c r="G30" s="33">
        <f t="shared" si="5"/>
        <v>0.35208333333333325</v>
      </c>
      <c r="H30" s="34">
        <f t="shared" si="2"/>
        <v>1.1502562499999998</v>
      </c>
      <c r="I30" s="34">
        <f t="shared" si="3"/>
        <v>0</v>
      </c>
      <c r="J30" s="84"/>
      <c r="K30" s="84"/>
      <c r="L30" s="64"/>
      <c r="M30" s="4"/>
      <c r="N30" s="4"/>
      <c r="O30" s="4"/>
      <c r="P30" s="4"/>
      <c r="Q30" s="4"/>
      <c r="R30" s="65"/>
      <c r="S30" s="64"/>
      <c r="T30" s="4"/>
      <c r="U30" s="4"/>
      <c r="V30" s="4"/>
      <c r="W30" s="4"/>
      <c r="X30" s="4"/>
      <c r="Y30" s="65"/>
      <c r="Z30" s="84"/>
      <c r="AA30" s="84"/>
      <c r="AB30" s="84"/>
    </row>
    <row r="31" spans="1:28" ht="15.75" thickBot="1">
      <c r="A31" s="80">
        <v>23</v>
      </c>
      <c r="B31" s="23">
        <v>3.75</v>
      </c>
      <c r="C31" s="32">
        <f t="shared" si="4"/>
        <v>3.4980000000000007</v>
      </c>
      <c r="D31" s="32">
        <f t="shared" si="0"/>
        <v>4.4343918439716319</v>
      </c>
      <c r="E31" s="32">
        <f t="shared" si="1"/>
        <v>2.5616081560283694</v>
      </c>
      <c r="F31" s="32">
        <f t="shared" si="6"/>
        <v>0.45000000000000018</v>
      </c>
      <c r="G31" s="33">
        <f t="shared" si="5"/>
        <v>0.35208333333333325</v>
      </c>
      <c r="H31" s="34">
        <f t="shared" si="2"/>
        <v>1.1502562499999998</v>
      </c>
      <c r="I31" s="34">
        <f t="shared" si="3"/>
        <v>0</v>
      </c>
      <c r="J31" s="84"/>
      <c r="K31" s="84"/>
      <c r="L31" s="64"/>
      <c r="M31" s="4"/>
      <c r="N31" s="4"/>
      <c r="O31" s="4"/>
      <c r="P31" s="4"/>
      <c r="Q31" s="4"/>
      <c r="R31" s="65"/>
      <c r="S31" s="64"/>
      <c r="T31" s="4"/>
      <c r="U31" s="4"/>
      <c r="V31" s="4"/>
      <c r="W31" s="4"/>
      <c r="X31" s="4"/>
      <c r="Y31" s="65"/>
      <c r="Z31" s="84"/>
      <c r="AA31" s="84"/>
      <c r="AB31" s="84"/>
    </row>
    <row r="32" spans="1:28" ht="15.75" thickBot="1">
      <c r="A32" s="80">
        <v>24</v>
      </c>
      <c r="B32" s="23">
        <v>3.5</v>
      </c>
      <c r="C32" s="32">
        <f t="shared" si="4"/>
        <v>3.4980000000000007</v>
      </c>
      <c r="D32" s="32">
        <f t="shared" si="0"/>
        <v>4.4343918439716319</v>
      </c>
      <c r="E32" s="32">
        <f t="shared" si="1"/>
        <v>2.5616081560283694</v>
      </c>
      <c r="F32" s="32">
        <f t="shared" si="6"/>
        <v>0.25</v>
      </c>
      <c r="G32" s="33">
        <f t="shared" si="5"/>
        <v>0.35208333333333325</v>
      </c>
      <c r="H32" s="34">
        <f t="shared" si="2"/>
        <v>1.1502562499999998</v>
      </c>
      <c r="I32" s="34">
        <f t="shared" si="3"/>
        <v>0</v>
      </c>
      <c r="J32" s="84"/>
      <c r="K32" s="84"/>
      <c r="L32" s="64"/>
      <c r="M32" s="4"/>
      <c r="N32" s="4"/>
      <c r="O32" s="4"/>
      <c r="P32" s="4"/>
      <c r="Q32" s="4"/>
      <c r="R32" s="65"/>
      <c r="S32" s="64"/>
      <c r="T32" s="4"/>
      <c r="U32" s="4"/>
      <c r="V32" s="4"/>
      <c r="W32" s="4"/>
      <c r="X32" s="4"/>
      <c r="Y32" s="65"/>
      <c r="Z32" s="84"/>
      <c r="AA32" s="84"/>
      <c r="AB32" s="84"/>
    </row>
    <row r="33" spans="1:28" ht="15.75" thickBot="1">
      <c r="A33" s="80">
        <v>25</v>
      </c>
      <c r="B33" s="23">
        <v>3.4</v>
      </c>
      <c r="C33" s="32">
        <f t="shared" si="4"/>
        <v>3.4980000000000007</v>
      </c>
      <c r="D33" s="32">
        <f t="shared" si="0"/>
        <v>4.4343918439716319</v>
      </c>
      <c r="E33" s="32">
        <f t="shared" si="1"/>
        <v>2.5616081560283694</v>
      </c>
      <c r="F33" s="32">
        <f t="shared" si="6"/>
        <v>0.10000000000000009</v>
      </c>
      <c r="G33" s="33">
        <f t="shared" si="5"/>
        <v>0.35208333333333325</v>
      </c>
      <c r="H33" s="34">
        <f t="shared" si="2"/>
        <v>1.1502562499999998</v>
      </c>
      <c r="I33" s="34">
        <f t="shared" si="3"/>
        <v>0</v>
      </c>
      <c r="J33" s="84"/>
      <c r="K33" s="84"/>
      <c r="L33" s="64"/>
      <c r="M33" s="4"/>
      <c r="N33" s="4"/>
      <c r="O33" s="4"/>
      <c r="P33" s="4"/>
      <c r="Q33" s="4"/>
      <c r="R33" s="65"/>
      <c r="S33" s="64"/>
      <c r="T33" s="4"/>
      <c r="U33" s="4"/>
      <c r="V33" s="4"/>
      <c r="W33" s="4"/>
      <c r="X33" s="4"/>
      <c r="Y33" s="65"/>
      <c r="Z33" s="84"/>
      <c r="AA33" s="84"/>
      <c r="AB33" s="84"/>
    </row>
    <row r="34" spans="1:28" ht="15.75" thickBot="1">
      <c r="A34" s="2"/>
      <c r="B34" s="23"/>
      <c r="C34" s="32" t="str">
        <f t="shared" si="4"/>
        <v/>
      </c>
      <c r="D34" s="32" t="str">
        <f t="shared" si="0"/>
        <v/>
      </c>
      <c r="E34" s="32" t="str">
        <f t="shared" si="1"/>
        <v/>
      </c>
      <c r="F34" s="32" t="str">
        <f t="shared" si="6"/>
        <v/>
      </c>
      <c r="G34" s="33" t="str">
        <f t="shared" si="5"/>
        <v/>
      </c>
      <c r="H34" s="34" t="str">
        <f t="shared" si="2"/>
        <v/>
      </c>
      <c r="I34" s="34" t="str">
        <f t="shared" si="3"/>
        <v/>
      </c>
      <c r="J34" s="84"/>
      <c r="K34" s="84"/>
      <c r="L34" s="66"/>
      <c r="M34" s="67"/>
      <c r="N34" s="67"/>
      <c r="O34" s="67"/>
      <c r="P34" s="67"/>
      <c r="Q34" s="67"/>
      <c r="R34" s="68"/>
      <c r="S34" s="66"/>
      <c r="T34" s="67"/>
      <c r="U34" s="67"/>
      <c r="V34" s="67"/>
      <c r="W34" s="67"/>
      <c r="X34" s="67"/>
      <c r="Y34" s="68"/>
      <c r="Z34" s="84"/>
      <c r="AA34" s="84"/>
      <c r="AB34" s="84"/>
    </row>
    <row r="35" spans="1:28" ht="15.75" thickBot="1">
      <c r="A35" s="2"/>
      <c r="B35" s="23"/>
      <c r="C35" s="32" t="str">
        <f t="shared" si="4"/>
        <v/>
      </c>
      <c r="D35" s="32" t="str">
        <f t="shared" si="0"/>
        <v/>
      </c>
      <c r="E35" s="32" t="str">
        <f t="shared" si="1"/>
        <v/>
      </c>
      <c r="F35" s="32" t="str">
        <f t="shared" si="6"/>
        <v/>
      </c>
      <c r="G35" s="33" t="str">
        <f t="shared" si="5"/>
        <v/>
      </c>
      <c r="H35" s="34" t="str">
        <f t="shared" si="2"/>
        <v/>
      </c>
      <c r="I35" s="34" t="str">
        <f t="shared" si="3"/>
        <v/>
      </c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</row>
    <row r="36" spans="1:28" ht="15.75" thickBot="1">
      <c r="A36" s="2"/>
      <c r="B36" s="23"/>
      <c r="C36" s="32" t="str">
        <f t="shared" si="4"/>
        <v/>
      </c>
      <c r="D36" s="32" t="str">
        <f t="shared" si="0"/>
        <v/>
      </c>
      <c r="E36" s="32" t="str">
        <f t="shared" si="1"/>
        <v/>
      </c>
      <c r="F36" s="32" t="str">
        <f t="shared" si="6"/>
        <v/>
      </c>
      <c r="G36" s="33" t="str">
        <f t="shared" si="5"/>
        <v/>
      </c>
      <c r="H36" s="34" t="str">
        <f t="shared" si="2"/>
        <v/>
      </c>
      <c r="I36" s="34" t="str">
        <f t="shared" si="3"/>
        <v/>
      </c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</row>
    <row r="37" spans="1:28" ht="15.75" thickBot="1">
      <c r="A37" s="2"/>
      <c r="B37" s="23"/>
      <c r="C37" s="32" t="str">
        <f t="shared" si="4"/>
        <v/>
      </c>
      <c r="D37" s="32" t="str">
        <f t="shared" si="0"/>
        <v/>
      </c>
      <c r="E37" s="32" t="str">
        <f t="shared" si="1"/>
        <v/>
      </c>
      <c r="F37" s="32" t="str">
        <f t="shared" si="6"/>
        <v/>
      </c>
      <c r="G37" s="33" t="str">
        <f t="shared" si="5"/>
        <v/>
      </c>
      <c r="H37" s="34" t="str">
        <f t="shared" si="2"/>
        <v/>
      </c>
      <c r="I37" s="34" t="str">
        <f t="shared" si="3"/>
        <v/>
      </c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</row>
    <row r="38" spans="1:28" ht="15.75" thickBot="1">
      <c r="A38" s="2"/>
      <c r="B38" s="23"/>
      <c r="C38" s="32" t="str">
        <f t="shared" si="4"/>
        <v/>
      </c>
      <c r="D38" s="32" t="str">
        <f t="shared" si="0"/>
        <v/>
      </c>
      <c r="E38" s="32" t="str">
        <f t="shared" si="1"/>
        <v/>
      </c>
      <c r="F38" s="32" t="str">
        <f t="shared" si="6"/>
        <v/>
      </c>
      <c r="G38" s="33" t="str">
        <f t="shared" si="5"/>
        <v/>
      </c>
      <c r="H38" s="34" t="str">
        <f t="shared" si="2"/>
        <v/>
      </c>
      <c r="I38" s="34" t="str">
        <f t="shared" si="3"/>
        <v/>
      </c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</row>
    <row r="39" spans="1:28" ht="15.75" thickBot="1">
      <c r="A39" s="2"/>
      <c r="B39" s="23"/>
      <c r="C39" s="32" t="str">
        <f t="shared" si="4"/>
        <v/>
      </c>
      <c r="D39" s="32" t="str">
        <f t="shared" si="0"/>
        <v/>
      </c>
      <c r="E39" s="32" t="str">
        <f t="shared" si="1"/>
        <v/>
      </c>
      <c r="F39" s="32" t="str">
        <f t="shared" si="6"/>
        <v/>
      </c>
      <c r="G39" s="33" t="str">
        <f t="shared" si="5"/>
        <v/>
      </c>
      <c r="H39" s="34" t="str">
        <f t="shared" si="2"/>
        <v/>
      </c>
      <c r="I39" s="34" t="str">
        <f t="shared" si="3"/>
        <v/>
      </c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</row>
    <row r="40" spans="1:28" ht="15.75" thickBot="1">
      <c r="A40" s="2"/>
      <c r="B40" s="23"/>
      <c r="C40" s="32" t="str">
        <f t="shared" si="4"/>
        <v/>
      </c>
      <c r="D40" s="32" t="str">
        <f t="shared" si="0"/>
        <v/>
      </c>
      <c r="E40" s="32" t="str">
        <f t="shared" si="1"/>
        <v/>
      </c>
      <c r="F40" s="32" t="str">
        <f t="shared" si="6"/>
        <v/>
      </c>
      <c r="G40" s="33" t="str">
        <f t="shared" si="5"/>
        <v/>
      </c>
      <c r="H40" s="34" t="str">
        <f t="shared" si="2"/>
        <v/>
      </c>
      <c r="I40" s="34" t="str">
        <f t="shared" si="3"/>
        <v/>
      </c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</row>
    <row r="41" spans="1:28" ht="15.75" thickBot="1">
      <c r="A41" s="2"/>
      <c r="B41" s="23"/>
      <c r="C41" s="32" t="str">
        <f t="shared" si="4"/>
        <v/>
      </c>
      <c r="D41" s="32" t="str">
        <f t="shared" ref="D41:D72" si="7">IF(B41&lt;&gt;0,C41+3*(G41/$I$5),"")</f>
        <v/>
      </c>
      <c r="E41" s="32" t="str">
        <f t="shared" ref="E41:E72" si="8">IF(B41&lt;&gt;0,C41-3*(G41/$I$5),"")</f>
        <v/>
      </c>
      <c r="F41" s="32" t="str">
        <f t="shared" si="6"/>
        <v/>
      </c>
      <c r="G41" s="33" t="str">
        <f t="shared" si="5"/>
        <v/>
      </c>
      <c r="H41" s="34" t="str">
        <f t="shared" ref="H41:H72" si="9">IF(SUM(B41:B41)&gt;0,$I$4*G41,"")</f>
        <v/>
      </c>
      <c r="I41" s="34" t="str">
        <f t="shared" ref="I41:I72" si="10">IF(SUM(B41:B41)&gt;0,$I$3*G41,"")</f>
        <v/>
      </c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</row>
    <row r="42" spans="1:28" ht="15.75" thickBot="1">
      <c r="A42" s="2"/>
      <c r="B42" s="23"/>
      <c r="C42" s="32" t="str">
        <f t="shared" si="4"/>
        <v/>
      </c>
      <c r="D42" s="32" t="str">
        <f t="shared" si="7"/>
        <v/>
      </c>
      <c r="E42" s="32" t="str">
        <f t="shared" si="8"/>
        <v/>
      </c>
      <c r="F42" s="32" t="str">
        <f t="shared" si="6"/>
        <v/>
      </c>
      <c r="G42" s="33" t="str">
        <f t="shared" ref="G42:G73" si="11">IF(SUM(B42:B42)&gt;0,AVERAGE($F$9:$F$116),"")</f>
        <v/>
      </c>
      <c r="H42" s="34" t="str">
        <f t="shared" si="9"/>
        <v/>
      </c>
      <c r="I42" s="34" t="str">
        <f t="shared" si="10"/>
        <v/>
      </c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</row>
    <row r="43" spans="1:28" ht="15.75" thickBot="1">
      <c r="A43" s="2"/>
      <c r="B43" s="23"/>
      <c r="C43" s="32" t="str">
        <f t="shared" si="4"/>
        <v/>
      </c>
      <c r="D43" s="32" t="str">
        <f t="shared" si="7"/>
        <v/>
      </c>
      <c r="E43" s="32" t="str">
        <f t="shared" si="8"/>
        <v/>
      </c>
      <c r="F43" s="32" t="str">
        <f t="shared" si="6"/>
        <v/>
      </c>
      <c r="G43" s="33" t="str">
        <f t="shared" si="11"/>
        <v/>
      </c>
      <c r="H43" s="34" t="str">
        <f t="shared" si="9"/>
        <v/>
      </c>
      <c r="I43" s="34" t="str">
        <f t="shared" si="10"/>
        <v/>
      </c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</row>
    <row r="44" spans="1:28" ht="15.75" thickBot="1">
      <c r="A44" s="2"/>
      <c r="B44" s="23"/>
      <c r="C44" s="32" t="str">
        <f t="shared" si="4"/>
        <v/>
      </c>
      <c r="D44" s="32" t="str">
        <f t="shared" si="7"/>
        <v/>
      </c>
      <c r="E44" s="32" t="str">
        <f t="shared" si="8"/>
        <v/>
      </c>
      <c r="F44" s="32" t="str">
        <f t="shared" si="6"/>
        <v/>
      </c>
      <c r="G44" s="33" t="str">
        <f t="shared" si="11"/>
        <v/>
      </c>
      <c r="H44" s="34" t="str">
        <f t="shared" si="9"/>
        <v/>
      </c>
      <c r="I44" s="34" t="str">
        <f t="shared" si="10"/>
        <v/>
      </c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</row>
    <row r="45" spans="1:28" ht="15.75" thickBot="1">
      <c r="A45" s="2"/>
      <c r="B45" s="23"/>
      <c r="C45" s="32" t="str">
        <f t="shared" si="4"/>
        <v/>
      </c>
      <c r="D45" s="32" t="str">
        <f t="shared" si="7"/>
        <v/>
      </c>
      <c r="E45" s="32" t="str">
        <f t="shared" si="8"/>
        <v/>
      </c>
      <c r="F45" s="32" t="str">
        <f t="shared" ref="F45:F76" si="12">IF(AND(B45&lt;&gt;0,$I$2&lt;&gt;0),IF($I$2=2,ABS(B44-B45),IF($I$2=3,MAX(B43:B45)-MIN(B43:B45),IF($I$2=4,MAX(B42:B45)-MIN(B42:B45),IF($I$2=5,MAX(B41:B45)-MIN(B41:B45),"")))),"")</f>
        <v/>
      </c>
      <c r="G45" s="33" t="str">
        <f t="shared" si="11"/>
        <v/>
      </c>
      <c r="H45" s="34" t="str">
        <f t="shared" si="9"/>
        <v/>
      </c>
      <c r="I45" s="34" t="str">
        <f t="shared" si="10"/>
        <v/>
      </c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</row>
    <row r="46" spans="1:28" ht="15.75" thickBot="1">
      <c r="A46" s="2"/>
      <c r="B46" s="23"/>
      <c r="C46" s="32" t="str">
        <f t="shared" si="4"/>
        <v/>
      </c>
      <c r="D46" s="32" t="str">
        <f t="shared" si="7"/>
        <v/>
      </c>
      <c r="E46" s="32" t="str">
        <f t="shared" si="8"/>
        <v/>
      </c>
      <c r="F46" s="32" t="str">
        <f t="shared" si="12"/>
        <v/>
      </c>
      <c r="G46" s="33" t="str">
        <f t="shared" si="11"/>
        <v/>
      </c>
      <c r="H46" s="34" t="str">
        <f t="shared" si="9"/>
        <v/>
      </c>
      <c r="I46" s="34" t="str">
        <f t="shared" si="10"/>
        <v/>
      </c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</row>
    <row r="47" spans="1:28" ht="15.75" thickBot="1">
      <c r="A47" s="2"/>
      <c r="B47" s="23"/>
      <c r="C47" s="32" t="str">
        <f t="shared" si="4"/>
        <v/>
      </c>
      <c r="D47" s="32" t="str">
        <f t="shared" si="7"/>
        <v/>
      </c>
      <c r="E47" s="32" t="str">
        <f t="shared" si="8"/>
        <v/>
      </c>
      <c r="F47" s="32" t="str">
        <f t="shared" si="12"/>
        <v/>
      </c>
      <c r="G47" s="33" t="str">
        <f t="shared" si="11"/>
        <v/>
      </c>
      <c r="H47" s="34" t="str">
        <f t="shared" si="9"/>
        <v/>
      </c>
      <c r="I47" s="34" t="str">
        <f t="shared" si="10"/>
        <v/>
      </c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</row>
    <row r="48" spans="1:28" ht="15.75" thickBot="1">
      <c r="A48" s="2"/>
      <c r="B48" s="23"/>
      <c r="C48" s="32" t="str">
        <f t="shared" si="4"/>
        <v/>
      </c>
      <c r="D48" s="32" t="str">
        <f t="shared" si="7"/>
        <v/>
      </c>
      <c r="E48" s="32" t="str">
        <f t="shared" si="8"/>
        <v/>
      </c>
      <c r="F48" s="32" t="str">
        <f t="shared" si="12"/>
        <v/>
      </c>
      <c r="G48" s="33" t="str">
        <f t="shared" si="11"/>
        <v/>
      </c>
      <c r="H48" s="34" t="str">
        <f t="shared" si="9"/>
        <v/>
      </c>
      <c r="I48" s="34" t="str">
        <f t="shared" si="10"/>
        <v/>
      </c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</row>
    <row r="49" spans="1:28" ht="15.75" thickBot="1">
      <c r="A49" s="2"/>
      <c r="B49" s="23"/>
      <c r="C49" s="32" t="str">
        <f t="shared" si="4"/>
        <v/>
      </c>
      <c r="D49" s="32" t="str">
        <f t="shared" si="7"/>
        <v/>
      </c>
      <c r="E49" s="32" t="str">
        <f t="shared" si="8"/>
        <v/>
      </c>
      <c r="F49" s="32" t="str">
        <f t="shared" si="12"/>
        <v/>
      </c>
      <c r="G49" s="33" t="str">
        <f t="shared" si="11"/>
        <v/>
      </c>
      <c r="H49" s="34" t="str">
        <f t="shared" si="9"/>
        <v/>
      </c>
      <c r="I49" s="34" t="str">
        <f t="shared" si="10"/>
        <v/>
      </c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</row>
    <row r="50" spans="1:28" ht="15.75" thickBot="1">
      <c r="A50" s="2"/>
      <c r="B50" s="23"/>
      <c r="C50" s="32" t="str">
        <f t="shared" si="4"/>
        <v/>
      </c>
      <c r="D50" s="32" t="str">
        <f t="shared" si="7"/>
        <v/>
      </c>
      <c r="E50" s="32" t="str">
        <f t="shared" si="8"/>
        <v/>
      </c>
      <c r="F50" s="32" t="str">
        <f t="shared" si="12"/>
        <v/>
      </c>
      <c r="G50" s="33" t="str">
        <f t="shared" si="11"/>
        <v/>
      </c>
      <c r="H50" s="34" t="str">
        <f t="shared" si="9"/>
        <v/>
      </c>
      <c r="I50" s="34" t="str">
        <f t="shared" si="10"/>
        <v/>
      </c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</row>
    <row r="51" spans="1:28" ht="15.75" thickBot="1">
      <c r="A51" s="2"/>
      <c r="B51" s="23"/>
      <c r="C51" s="32" t="str">
        <f t="shared" si="4"/>
        <v/>
      </c>
      <c r="D51" s="32" t="str">
        <f t="shared" si="7"/>
        <v/>
      </c>
      <c r="E51" s="32" t="str">
        <f t="shared" si="8"/>
        <v/>
      </c>
      <c r="F51" s="32" t="str">
        <f t="shared" si="12"/>
        <v/>
      </c>
      <c r="G51" s="33" t="str">
        <f t="shared" si="11"/>
        <v/>
      </c>
      <c r="H51" s="34" t="str">
        <f t="shared" si="9"/>
        <v/>
      </c>
      <c r="I51" s="34" t="str">
        <f t="shared" si="10"/>
        <v/>
      </c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</row>
    <row r="52" spans="1:28" ht="15.75" thickBot="1">
      <c r="A52" s="2"/>
      <c r="B52" s="23"/>
      <c r="C52" s="32" t="str">
        <f t="shared" si="4"/>
        <v/>
      </c>
      <c r="D52" s="32" t="str">
        <f t="shared" si="7"/>
        <v/>
      </c>
      <c r="E52" s="32" t="str">
        <f t="shared" si="8"/>
        <v/>
      </c>
      <c r="F52" s="32" t="str">
        <f t="shared" si="12"/>
        <v/>
      </c>
      <c r="G52" s="33" t="str">
        <f t="shared" si="11"/>
        <v/>
      </c>
      <c r="H52" s="34" t="str">
        <f t="shared" si="9"/>
        <v/>
      </c>
      <c r="I52" s="34" t="str">
        <f t="shared" si="10"/>
        <v/>
      </c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</row>
    <row r="53" spans="1:28" ht="15.75" thickBot="1">
      <c r="A53" s="2"/>
      <c r="B53" s="23"/>
      <c r="C53" s="32" t="str">
        <f t="shared" si="4"/>
        <v/>
      </c>
      <c r="D53" s="32" t="str">
        <f t="shared" si="7"/>
        <v/>
      </c>
      <c r="E53" s="32" t="str">
        <f t="shared" si="8"/>
        <v/>
      </c>
      <c r="F53" s="32" t="str">
        <f t="shared" si="12"/>
        <v/>
      </c>
      <c r="G53" s="33" t="str">
        <f t="shared" si="11"/>
        <v/>
      </c>
      <c r="H53" s="34" t="str">
        <f t="shared" si="9"/>
        <v/>
      </c>
      <c r="I53" s="34" t="str">
        <f t="shared" si="10"/>
        <v/>
      </c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</row>
    <row r="54" spans="1:28" ht="15.75" thickBot="1">
      <c r="A54" s="2"/>
      <c r="B54" s="23"/>
      <c r="C54" s="32" t="str">
        <f t="shared" si="4"/>
        <v/>
      </c>
      <c r="D54" s="32" t="str">
        <f t="shared" si="7"/>
        <v/>
      </c>
      <c r="E54" s="32" t="str">
        <f t="shared" si="8"/>
        <v/>
      </c>
      <c r="F54" s="32" t="str">
        <f t="shared" si="12"/>
        <v/>
      </c>
      <c r="G54" s="33" t="str">
        <f t="shared" si="11"/>
        <v/>
      </c>
      <c r="H54" s="34" t="str">
        <f t="shared" si="9"/>
        <v/>
      </c>
      <c r="I54" s="34" t="str">
        <f t="shared" si="10"/>
        <v/>
      </c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</row>
    <row r="55" spans="1:28" ht="15.75" thickBot="1">
      <c r="A55" s="2"/>
      <c r="B55" s="23"/>
      <c r="C55" s="32" t="str">
        <f t="shared" si="4"/>
        <v/>
      </c>
      <c r="D55" s="32" t="str">
        <f t="shared" si="7"/>
        <v/>
      </c>
      <c r="E55" s="32" t="str">
        <f t="shared" si="8"/>
        <v/>
      </c>
      <c r="F55" s="32" t="str">
        <f t="shared" si="12"/>
        <v/>
      </c>
      <c r="G55" s="33" t="str">
        <f t="shared" si="11"/>
        <v/>
      </c>
      <c r="H55" s="34" t="str">
        <f t="shared" si="9"/>
        <v/>
      </c>
      <c r="I55" s="34" t="str">
        <f t="shared" si="10"/>
        <v/>
      </c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</row>
    <row r="56" spans="1:28" ht="15.75" thickBot="1">
      <c r="A56" s="2"/>
      <c r="B56" s="23"/>
      <c r="C56" s="32" t="str">
        <f t="shared" si="4"/>
        <v/>
      </c>
      <c r="D56" s="32" t="str">
        <f t="shared" si="7"/>
        <v/>
      </c>
      <c r="E56" s="32" t="str">
        <f t="shared" si="8"/>
        <v/>
      </c>
      <c r="F56" s="32" t="str">
        <f t="shared" si="12"/>
        <v/>
      </c>
      <c r="G56" s="33" t="str">
        <f t="shared" si="11"/>
        <v/>
      </c>
      <c r="H56" s="34" t="str">
        <f t="shared" si="9"/>
        <v/>
      </c>
      <c r="I56" s="34" t="str">
        <f t="shared" si="10"/>
        <v/>
      </c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</row>
    <row r="57" spans="1:28" ht="15.75" thickBot="1">
      <c r="A57" s="2"/>
      <c r="B57" s="23"/>
      <c r="C57" s="32" t="str">
        <f t="shared" si="4"/>
        <v/>
      </c>
      <c r="D57" s="32" t="str">
        <f t="shared" si="7"/>
        <v/>
      </c>
      <c r="E57" s="32" t="str">
        <f t="shared" si="8"/>
        <v/>
      </c>
      <c r="F57" s="32" t="str">
        <f t="shared" si="12"/>
        <v/>
      </c>
      <c r="G57" s="33" t="str">
        <f t="shared" si="11"/>
        <v/>
      </c>
      <c r="H57" s="34" t="str">
        <f t="shared" si="9"/>
        <v/>
      </c>
      <c r="I57" s="34" t="str">
        <f t="shared" si="10"/>
        <v/>
      </c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</row>
    <row r="58" spans="1:28" ht="15.75" thickBot="1">
      <c r="A58" s="2"/>
      <c r="B58" s="23"/>
      <c r="C58" s="32" t="str">
        <f t="shared" si="4"/>
        <v/>
      </c>
      <c r="D58" s="32" t="str">
        <f t="shared" si="7"/>
        <v/>
      </c>
      <c r="E58" s="32" t="str">
        <f t="shared" si="8"/>
        <v/>
      </c>
      <c r="F58" s="32" t="str">
        <f t="shared" si="12"/>
        <v/>
      </c>
      <c r="G58" s="33" t="str">
        <f t="shared" si="11"/>
        <v/>
      </c>
      <c r="H58" s="34" t="str">
        <f t="shared" si="9"/>
        <v/>
      </c>
      <c r="I58" s="34" t="str">
        <f t="shared" si="10"/>
        <v/>
      </c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</row>
    <row r="59" spans="1:28" ht="15.75" thickBot="1">
      <c r="A59" s="2"/>
      <c r="B59" s="23"/>
      <c r="C59" s="32" t="str">
        <f t="shared" si="4"/>
        <v/>
      </c>
      <c r="D59" s="32" t="str">
        <f t="shared" si="7"/>
        <v/>
      </c>
      <c r="E59" s="32" t="str">
        <f t="shared" si="8"/>
        <v/>
      </c>
      <c r="F59" s="32" t="str">
        <f t="shared" si="12"/>
        <v/>
      </c>
      <c r="G59" s="33" t="str">
        <f t="shared" si="11"/>
        <v/>
      </c>
      <c r="H59" s="34" t="str">
        <f t="shared" si="9"/>
        <v/>
      </c>
      <c r="I59" s="34" t="str">
        <f t="shared" si="10"/>
        <v/>
      </c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</row>
    <row r="60" spans="1:28" ht="15.75" thickBot="1">
      <c r="A60" s="2"/>
      <c r="B60" s="23"/>
      <c r="C60" s="32" t="str">
        <f t="shared" si="4"/>
        <v/>
      </c>
      <c r="D60" s="32" t="str">
        <f t="shared" si="7"/>
        <v/>
      </c>
      <c r="E60" s="32" t="str">
        <f t="shared" si="8"/>
        <v/>
      </c>
      <c r="F60" s="32" t="str">
        <f t="shared" si="12"/>
        <v/>
      </c>
      <c r="G60" s="33" t="str">
        <f t="shared" si="11"/>
        <v/>
      </c>
      <c r="H60" s="34" t="str">
        <f t="shared" si="9"/>
        <v/>
      </c>
      <c r="I60" s="34" t="str">
        <f t="shared" si="10"/>
        <v/>
      </c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</row>
    <row r="61" spans="1:28" ht="15.75" thickBot="1">
      <c r="A61" s="2"/>
      <c r="B61" s="23"/>
      <c r="C61" s="32" t="str">
        <f t="shared" si="4"/>
        <v/>
      </c>
      <c r="D61" s="32" t="str">
        <f t="shared" si="7"/>
        <v/>
      </c>
      <c r="E61" s="32" t="str">
        <f t="shared" si="8"/>
        <v/>
      </c>
      <c r="F61" s="32" t="str">
        <f t="shared" si="12"/>
        <v/>
      </c>
      <c r="G61" s="33" t="str">
        <f t="shared" si="11"/>
        <v/>
      </c>
      <c r="H61" s="34" t="str">
        <f t="shared" si="9"/>
        <v/>
      </c>
      <c r="I61" s="34" t="str">
        <f t="shared" si="10"/>
        <v/>
      </c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</row>
    <row r="62" spans="1:28" ht="15.75" thickBot="1">
      <c r="A62" s="2"/>
      <c r="B62" s="23"/>
      <c r="C62" s="32" t="str">
        <f t="shared" si="4"/>
        <v/>
      </c>
      <c r="D62" s="32" t="str">
        <f t="shared" si="7"/>
        <v/>
      </c>
      <c r="E62" s="32" t="str">
        <f t="shared" si="8"/>
        <v/>
      </c>
      <c r="F62" s="32" t="str">
        <f t="shared" si="12"/>
        <v/>
      </c>
      <c r="G62" s="33" t="str">
        <f t="shared" si="11"/>
        <v/>
      </c>
      <c r="H62" s="34" t="str">
        <f t="shared" si="9"/>
        <v/>
      </c>
      <c r="I62" s="34" t="str">
        <f t="shared" si="10"/>
        <v/>
      </c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</row>
    <row r="63" spans="1:28" ht="15.75" thickBot="1">
      <c r="A63" s="2"/>
      <c r="B63" s="23"/>
      <c r="C63" s="32" t="str">
        <f t="shared" si="4"/>
        <v/>
      </c>
      <c r="D63" s="32" t="str">
        <f t="shared" si="7"/>
        <v/>
      </c>
      <c r="E63" s="32" t="str">
        <f t="shared" si="8"/>
        <v/>
      </c>
      <c r="F63" s="32" t="str">
        <f t="shared" si="12"/>
        <v/>
      </c>
      <c r="G63" s="33" t="str">
        <f t="shared" si="11"/>
        <v/>
      </c>
      <c r="H63" s="34" t="str">
        <f t="shared" si="9"/>
        <v/>
      </c>
      <c r="I63" s="34" t="str">
        <f t="shared" si="10"/>
        <v/>
      </c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</row>
    <row r="64" spans="1:28" ht="15.75" thickBot="1">
      <c r="A64" s="2"/>
      <c r="B64" s="23"/>
      <c r="C64" s="32" t="str">
        <f t="shared" si="4"/>
        <v/>
      </c>
      <c r="D64" s="32" t="str">
        <f t="shared" si="7"/>
        <v/>
      </c>
      <c r="E64" s="32" t="str">
        <f t="shared" si="8"/>
        <v/>
      </c>
      <c r="F64" s="32" t="str">
        <f t="shared" si="12"/>
        <v/>
      </c>
      <c r="G64" s="33" t="str">
        <f t="shared" si="11"/>
        <v/>
      </c>
      <c r="H64" s="34" t="str">
        <f t="shared" si="9"/>
        <v/>
      </c>
      <c r="I64" s="34" t="str">
        <f t="shared" si="10"/>
        <v/>
      </c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</row>
    <row r="65" spans="1:28" ht="15.75" thickBot="1">
      <c r="A65" s="2"/>
      <c r="B65" s="23"/>
      <c r="C65" s="32" t="str">
        <f t="shared" si="4"/>
        <v/>
      </c>
      <c r="D65" s="32" t="str">
        <f t="shared" si="7"/>
        <v/>
      </c>
      <c r="E65" s="32" t="str">
        <f t="shared" si="8"/>
        <v/>
      </c>
      <c r="F65" s="32" t="str">
        <f t="shared" si="12"/>
        <v/>
      </c>
      <c r="G65" s="33" t="str">
        <f t="shared" si="11"/>
        <v/>
      </c>
      <c r="H65" s="34" t="str">
        <f t="shared" si="9"/>
        <v/>
      </c>
      <c r="I65" s="34" t="str">
        <f t="shared" si="10"/>
        <v/>
      </c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</row>
    <row r="66" spans="1:28" ht="15.75" thickBot="1">
      <c r="A66" s="2"/>
      <c r="B66" s="23"/>
      <c r="C66" s="32" t="str">
        <f t="shared" si="4"/>
        <v/>
      </c>
      <c r="D66" s="32" t="str">
        <f t="shared" si="7"/>
        <v/>
      </c>
      <c r="E66" s="32" t="str">
        <f t="shared" si="8"/>
        <v/>
      </c>
      <c r="F66" s="32" t="str">
        <f t="shared" si="12"/>
        <v/>
      </c>
      <c r="G66" s="33" t="str">
        <f t="shared" si="11"/>
        <v/>
      </c>
      <c r="H66" s="34" t="str">
        <f t="shared" si="9"/>
        <v/>
      </c>
      <c r="I66" s="34" t="str">
        <f t="shared" si="10"/>
        <v/>
      </c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</row>
    <row r="67" spans="1:28" ht="15.75" thickBot="1">
      <c r="A67" s="2"/>
      <c r="B67" s="23"/>
      <c r="C67" s="32" t="str">
        <f t="shared" si="4"/>
        <v/>
      </c>
      <c r="D67" s="32" t="str">
        <f t="shared" si="7"/>
        <v/>
      </c>
      <c r="E67" s="32" t="str">
        <f t="shared" si="8"/>
        <v/>
      </c>
      <c r="F67" s="32" t="str">
        <f t="shared" si="12"/>
        <v/>
      </c>
      <c r="G67" s="33" t="str">
        <f t="shared" si="11"/>
        <v/>
      </c>
      <c r="H67" s="34" t="str">
        <f t="shared" si="9"/>
        <v/>
      </c>
      <c r="I67" s="34" t="str">
        <f t="shared" si="10"/>
        <v/>
      </c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</row>
    <row r="68" spans="1:28" ht="15.75" thickBot="1">
      <c r="A68" s="2"/>
      <c r="B68" s="23"/>
      <c r="C68" s="32" t="str">
        <f t="shared" si="4"/>
        <v/>
      </c>
      <c r="D68" s="32" t="str">
        <f t="shared" si="7"/>
        <v/>
      </c>
      <c r="E68" s="32" t="str">
        <f t="shared" si="8"/>
        <v/>
      </c>
      <c r="F68" s="32" t="str">
        <f t="shared" si="12"/>
        <v/>
      </c>
      <c r="G68" s="33" t="str">
        <f t="shared" si="11"/>
        <v/>
      </c>
      <c r="H68" s="34" t="str">
        <f t="shared" si="9"/>
        <v/>
      </c>
      <c r="I68" s="34" t="str">
        <f t="shared" si="10"/>
        <v/>
      </c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</row>
    <row r="69" spans="1:28" ht="15.75" thickBot="1">
      <c r="A69" s="2"/>
      <c r="B69" s="23"/>
      <c r="C69" s="32" t="str">
        <f t="shared" si="4"/>
        <v/>
      </c>
      <c r="D69" s="32" t="str">
        <f t="shared" si="7"/>
        <v/>
      </c>
      <c r="E69" s="32" t="str">
        <f t="shared" si="8"/>
        <v/>
      </c>
      <c r="F69" s="32" t="str">
        <f t="shared" si="12"/>
        <v/>
      </c>
      <c r="G69" s="33" t="str">
        <f t="shared" si="11"/>
        <v/>
      </c>
      <c r="H69" s="34" t="str">
        <f t="shared" si="9"/>
        <v/>
      </c>
      <c r="I69" s="34" t="str">
        <f t="shared" si="10"/>
        <v/>
      </c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</row>
    <row r="70" spans="1:28" ht="15.75" thickBot="1">
      <c r="A70" s="2"/>
      <c r="B70" s="23"/>
      <c r="C70" s="32" t="str">
        <f t="shared" si="4"/>
        <v/>
      </c>
      <c r="D70" s="32" t="str">
        <f t="shared" si="7"/>
        <v/>
      </c>
      <c r="E70" s="32" t="str">
        <f t="shared" si="8"/>
        <v/>
      </c>
      <c r="F70" s="32" t="str">
        <f t="shared" si="12"/>
        <v/>
      </c>
      <c r="G70" s="33" t="str">
        <f t="shared" si="11"/>
        <v/>
      </c>
      <c r="H70" s="34" t="str">
        <f t="shared" si="9"/>
        <v/>
      </c>
      <c r="I70" s="34" t="str">
        <f t="shared" si="10"/>
        <v/>
      </c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</row>
    <row r="71" spans="1:28" ht="15.75" thickBot="1">
      <c r="A71" s="2"/>
      <c r="B71" s="23"/>
      <c r="C71" s="32" t="str">
        <f t="shared" si="4"/>
        <v/>
      </c>
      <c r="D71" s="32" t="str">
        <f t="shared" si="7"/>
        <v/>
      </c>
      <c r="E71" s="32" t="str">
        <f t="shared" si="8"/>
        <v/>
      </c>
      <c r="F71" s="32" t="str">
        <f t="shared" si="12"/>
        <v/>
      </c>
      <c r="G71" s="33" t="str">
        <f t="shared" si="11"/>
        <v/>
      </c>
      <c r="H71" s="34" t="str">
        <f t="shared" si="9"/>
        <v/>
      </c>
      <c r="I71" s="34" t="str">
        <f t="shared" si="10"/>
        <v/>
      </c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</row>
    <row r="72" spans="1:28" ht="15.75" thickBot="1">
      <c r="A72" s="2"/>
      <c r="B72" s="23"/>
      <c r="C72" s="32" t="str">
        <f t="shared" si="4"/>
        <v/>
      </c>
      <c r="D72" s="32" t="str">
        <f t="shared" si="7"/>
        <v/>
      </c>
      <c r="E72" s="32" t="str">
        <f t="shared" si="8"/>
        <v/>
      </c>
      <c r="F72" s="32" t="str">
        <f t="shared" si="12"/>
        <v/>
      </c>
      <c r="G72" s="33" t="str">
        <f t="shared" si="11"/>
        <v/>
      </c>
      <c r="H72" s="34" t="str">
        <f t="shared" si="9"/>
        <v/>
      </c>
      <c r="I72" s="34" t="str">
        <f t="shared" si="10"/>
        <v/>
      </c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</row>
    <row r="73" spans="1:28" ht="15.75" thickBot="1">
      <c r="A73" s="2"/>
      <c r="B73" s="23"/>
      <c r="C73" s="32" t="str">
        <f t="shared" si="4"/>
        <v/>
      </c>
      <c r="D73" s="32" t="str">
        <f t="shared" ref="D73:D104" si="13">IF(B73&lt;&gt;0,C73+3*(G73/$I$5),"")</f>
        <v/>
      </c>
      <c r="E73" s="32" t="str">
        <f t="shared" ref="E73:E104" si="14">IF(B73&lt;&gt;0,C73-3*(G73/$I$5),"")</f>
        <v/>
      </c>
      <c r="F73" s="32" t="str">
        <f t="shared" si="12"/>
        <v/>
      </c>
      <c r="G73" s="33" t="str">
        <f t="shared" si="11"/>
        <v/>
      </c>
      <c r="H73" s="34" t="str">
        <f t="shared" ref="H73:H104" si="15">IF(SUM(B73:B73)&gt;0,$I$4*G73,"")</f>
        <v/>
      </c>
      <c r="I73" s="34" t="str">
        <f t="shared" ref="I73:I104" si="16">IF(SUM(B73:B73)&gt;0,$I$3*G73,"")</f>
        <v/>
      </c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</row>
    <row r="74" spans="1:28" ht="15.75" thickBot="1">
      <c r="A74" s="2"/>
      <c r="B74" s="23"/>
      <c r="C74" s="32" t="str">
        <f t="shared" ref="C74:C116" si="17">IF(SUM(B74)&gt;0,AVERAGE($B$9:$B$116),"")</f>
        <v/>
      </c>
      <c r="D74" s="32" t="str">
        <f t="shared" si="13"/>
        <v/>
      </c>
      <c r="E74" s="32" t="str">
        <f t="shared" si="14"/>
        <v/>
      </c>
      <c r="F74" s="32" t="str">
        <f t="shared" si="12"/>
        <v/>
      </c>
      <c r="G74" s="33" t="str">
        <f t="shared" ref="G74:G105" si="18">IF(SUM(B74:B74)&gt;0,AVERAGE($F$9:$F$116),"")</f>
        <v/>
      </c>
      <c r="H74" s="34" t="str">
        <f t="shared" si="15"/>
        <v/>
      </c>
      <c r="I74" s="34" t="str">
        <f t="shared" si="16"/>
        <v/>
      </c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</row>
    <row r="75" spans="1:28" ht="15.75" thickBot="1">
      <c r="A75" s="2"/>
      <c r="B75" s="23"/>
      <c r="C75" s="32" t="str">
        <f t="shared" si="17"/>
        <v/>
      </c>
      <c r="D75" s="32" t="str">
        <f t="shared" si="13"/>
        <v/>
      </c>
      <c r="E75" s="32" t="str">
        <f t="shared" si="14"/>
        <v/>
      </c>
      <c r="F75" s="32" t="str">
        <f t="shared" si="12"/>
        <v/>
      </c>
      <c r="G75" s="33" t="str">
        <f t="shared" si="18"/>
        <v/>
      </c>
      <c r="H75" s="34" t="str">
        <f t="shared" si="15"/>
        <v/>
      </c>
      <c r="I75" s="34" t="str">
        <f t="shared" si="16"/>
        <v/>
      </c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</row>
    <row r="76" spans="1:28" ht="15.75" thickBot="1">
      <c r="A76" s="2"/>
      <c r="B76" s="23"/>
      <c r="C76" s="32" t="str">
        <f t="shared" si="17"/>
        <v/>
      </c>
      <c r="D76" s="32" t="str">
        <f t="shared" si="13"/>
        <v/>
      </c>
      <c r="E76" s="32" t="str">
        <f t="shared" si="14"/>
        <v/>
      </c>
      <c r="F76" s="32" t="str">
        <f t="shared" si="12"/>
        <v/>
      </c>
      <c r="G76" s="33" t="str">
        <f t="shared" si="18"/>
        <v/>
      </c>
      <c r="H76" s="34" t="str">
        <f t="shared" si="15"/>
        <v/>
      </c>
      <c r="I76" s="34" t="str">
        <f t="shared" si="16"/>
        <v/>
      </c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</row>
    <row r="77" spans="1:28" ht="15.75" thickBot="1">
      <c r="A77" s="2"/>
      <c r="B77" s="23"/>
      <c r="C77" s="32" t="str">
        <f t="shared" si="17"/>
        <v/>
      </c>
      <c r="D77" s="32" t="str">
        <f t="shared" si="13"/>
        <v/>
      </c>
      <c r="E77" s="32" t="str">
        <f t="shared" si="14"/>
        <v/>
      </c>
      <c r="F77" s="32" t="str">
        <f t="shared" ref="F77:F108" si="19">IF(AND(B77&lt;&gt;0,$I$2&lt;&gt;0),IF($I$2=2,ABS(B76-B77),IF($I$2=3,MAX(B75:B77)-MIN(B75:B77),IF($I$2=4,MAX(B74:B77)-MIN(B74:B77),IF($I$2=5,MAX(B73:B77)-MIN(B73:B77),"")))),"")</f>
        <v/>
      </c>
      <c r="G77" s="33" t="str">
        <f t="shared" si="18"/>
        <v/>
      </c>
      <c r="H77" s="34" t="str">
        <f t="shared" si="15"/>
        <v/>
      </c>
      <c r="I77" s="34" t="str">
        <f t="shared" si="16"/>
        <v/>
      </c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</row>
    <row r="78" spans="1:28" ht="15.75" thickBot="1">
      <c r="A78" s="2"/>
      <c r="B78" s="23"/>
      <c r="C78" s="32" t="str">
        <f t="shared" si="17"/>
        <v/>
      </c>
      <c r="D78" s="32" t="str">
        <f t="shared" si="13"/>
        <v/>
      </c>
      <c r="E78" s="32" t="str">
        <f t="shared" si="14"/>
        <v/>
      </c>
      <c r="F78" s="32" t="str">
        <f t="shared" si="19"/>
        <v/>
      </c>
      <c r="G78" s="33" t="str">
        <f t="shared" si="18"/>
        <v/>
      </c>
      <c r="H78" s="34" t="str">
        <f t="shared" si="15"/>
        <v/>
      </c>
      <c r="I78" s="34" t="str">
        <f t="shared" si="16"/>
        <v/>
      </c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</row>
    <row r="79" spans="1:28" ht="15.75" thickBot="1">
      <c r="A79" s="2"/>
      <c r="B79" s="23"/>
      <c r="C79" s="32" t="str">
        <f t="shared" si="17"/>
        <v/>
      </c>
      <c r="D79" s="32" t="str">
        <f t="shared" si="13"/>
        <v/>
      </c>
      <c r="E79" s="32" t="str">
        <f t="shared" si="14"/>
        <v/>
      </c>
      <c r="F79" s="32" t="str">
        <f t="shared" si="19"/>
        <v/>
      </c>
      <c r="G79" s="33" t="str">
        <f t="shared" si="18"/>
        <v/>
      </c>
      <c r="H79" s="34" t="str">
        <f t="shared" si="15"/>
        <v/>
      </c>
      <c r="I79" s="34" t="str">
        <f t="shared" si="16"/>
        <v/>
      </c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</row>
    <row r="80" spans="1:28" ht="15.75" thickBot="1">
      <c r="A80" s="2"/>
      <c r="B80" s="23"/>
      <c r="C80" s="32" t="str">
        <f t="shared" si="17"/>
        <v/>
      </c>
      <c r="D80" s="32" t="str">
        <f t="shared" si="13"/>
        <v/>
      </c>
      <c r="E80" s="32" t="str">
        <f t="shared" si="14"/>
        <v/>
      </c>
      <c r="F80" s="32" t="str">
        <f t="shared" si="19"/>
        <v/>
      </c>
      <c r="G80" s="33" t="str">
        <f t="shared" si="18"/>
        <v/>
      </c>
      <c r="H80" s="34" t="str">
        <f t="shared" si="15"/>
        <v/>
      </c>
      <c r="I80" s="34" t="str">
        <f t="shared" si="16"/>
        <v/>
      </c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</row>
    <row r="81" spans="1:28" ht="15.75" thickBot="1">
      <c r="A81" s="2"/>
      <c r="B81" s="23"/>
      <c r="C81" s="32" t="str">
        <f t="shared" si="17"/>
        <v/>
      </c>
      <c r="D81" s="32" t="str">
        <f t="shared" si="13"/>
        <v/>
      </c>
      <c r="E81" s="32" t="str">
        <f t="shared" si="14"/>
        <v/>
      </c>
      <c r="F81" s="32" t="str">
        <f t="shared" si="19"/>
        <v/>
      </c>
      <c r="G81" s="33" t="str">
        <f t="shared" si="18"/>
        <v/>
      </c>
      <c r="H81" s="34" t="str">
        <f t="shared" si="15"/>
        <v/>
      </c>
      <c r="I81" s="34" t="str">
        <f t="shared" si="16"/>
        <v/>
      </c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</row>
    <row r="82" spans="1:28" ht="15.75" thickBot="1">
      <c r="A82" s="2"/>
      <c r="B82" s="23"/>
      <c r="C82" s="32" t="str">
        <f t="shared" si="17"/>
        <v/>
      </c>
      <c r="D82" s="32" t="str">
        <f t="shared" si="13"/>
        <v/>
      </c>
      <c r="E82" s="32" t="str">
        <f t="shared" si="14"/>
        <v/>
      </c>
      <c r="F82" s="32" t="str">
        <f t="shared" si="19"/>
        <v/>
      </c>
      <c r="G82" s="33" t="str">
        <f t="shared" si="18"/>
        <v/>
      </c>
      <c r="H82" s="34" t="str">
        <f t="shared" si="15"/>
        <v/>
      </c>
      <c r="I82" s="34" t="str">
        <f t="shared" si="16"/>
        <v/>
      </c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</row>
    <row r="83" spans="1:28" ht="15.75" thickBot="1">
      <c r="A83" s="2"/>
      <c r="B83" s="23"/>
      <c r="C83" s="32" t="str">
        <f t="shared" si="17"/>
        <v/>
      </c>
      <c r="D83" s="32" t="str">
        <f t="shared" si="13"/>
        <v/>
      </c>
      <c r="E83" s="32" t="str">
        <f t="shared" si="14"/>
        <v/>
      </c>
      <c r="F83" s="32" t="str">
        <f t="shared" si="19"/>
        <v/>
      </c>
      <c r="G83" s="33" t="str">
        <f t="shared" si="18"/>
        <v/>
      </c>
      <c r="H83" s="34" t="str">
        <f t="shared" si="15"/>
        <v/>
      </c>
      <c r="I83" s="34" t="str">
        <f t="shared" si="16"/>
        <v/>
      </c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</row>
    <row r="84" spans="1:28" ht="15.75" thickBot="1">
      <c r="A84" s="2"/>
      <c r="B84" s="23"/>
      <c r="C84" s="32" t="str">
        <f t="shared" si="17"/>
        <v/>
      </c>
      <c r="D84" s="32" t="str">
        <f t="shared" si="13"/>
        <v/>
      </c>
      <c r="E84" s="32" t="str">
        <f t="shared" si="14"/>
        <v/>
      </c>
      <c r="F84" s="32" t="str">
        <f t="shared" si="19"/>
        <v/>
      </c>
      <c r="G84" s="33" t="str">
        <f t="shared" si="18"/>
        <v/>
      </c>
      <c r="H84" s="34" t="str">
        <f t="shared" si="15"/>
        <v/>
      </c>
      <c r="I84" s="34" t="str">
        <f t="shared" si="16"/>
        <v/>
      </c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</row>
    <row r="85" spans="1:28" ht="15.75" thickBot="1">
      <c r="A85" s="2"/>
      <c r="B85" s="23"/>
      <c r="C85" s="32" t="str">
        <f t="shared" si="17"/>
        <v/>
      </c>
      <c r="D85" s="32" t="str">
        <f t="shared" si="13"/>
        <v/>
      </c>
      <c r="E85" s="32" t="str">
        <f t="shared" si="14"/>
        <v/>
      </c>
      <c r="F85" s="32" t="str">
        <f t="shared" si="19"/>
        <v/>
      </c>
      <c r="G85" s="33" t="str">
        <f t="shared" si="18"/>
        <v/>
      </c>
      <c r="H85" s="34" t="str">
        <f t="shared" si="15"/>
        <v/>
      </c>
      <c r="I85" s="34" t="str">
        <f t="shared" si="16"/>
        <v/>
      </c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</row>
    <row r="86" spans="1:28" ht="15.75" thickBot="1">
      <c r="A86" s="2"/>
      <c r="B86" s="23"/>
      <c r="C86" s="32" t="str">
        <f t="shared" si="17"/>
        <v/>
      </c>
      <c r="D86" s="32" t="str">
        <f t="shared" si="13"/>
        <v/>
      </c>
      <c r="E86" s="32" t="str">
        <f t="shared" si="14"/>
        <v/>
      </c>
      <c r="F86" s="32" t="str">
        <f t="shared" si="19"/>
        <v/>
      </c>
      <c r="G86" s="33" t="str">
        <f t="shared" si="18"/>
        <v/>
      </c>
      <c r="H86" s="34" t="str">
        <f t="shared" si="15"/>
        <v/>
      </c>
      <c r="I86" s="34" t="str">
        <f t="shared" si="16"/>
        <v/>
      </c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</row>
    <row r="87" spans="1:28" ht="15.75" thickBot="1">
      <c r="A87" s="2"/>
      <c r="B87" s="23"/>
      <c r="C87" s="32" t="str">
        <f t="shared" si="17"/>
        <v/>
      </c>
      <c r="D87" s="32" t="str">
        <f t="shared" si="13"/>
        <v/>
      </c>
      <c r="E87" s="32" t="str">
        <f t="shared" si="14"/>
        <v/>
      </c>
      <c r="F87" s="32" t="str">
        <f t="shared" si="19"/>
        <v/>
      </c>
      <c r="G87" s="33" t="str">
        <f t="shared" si="18"/>
        <v/>
      </c>
      <c r="H87" s="34" t="str">
        <f t="shared" si="15"/>
        <v/>
      </c>
      <c r="I87" s="34" t="str">
        <f t="shared" si="16"/>
        <v/>
      </c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</row>
    <row r="88" spans="1:28" ht="15.75" thickBot="1">
      <c r="A88" s="2"/>
      <c r="B88" s="23"/>
      <c r="C88" s="32" t="str">
        <f t="shared" si="17"/>
        <v/>
      </c>
      <c r="D88" s="32" t="str">
        <f t="shared" si="13"/>
        <v/>
      </c>
      <c r="E88" s="32" t="str">
        <f t="shared" si="14"/>
        <v/>
      </c>
      <c r="F88" s="32" t="str">
        <f t="shared" si="19"/>
        <v/>
      </c>
      <c r="G88" s="33" t="str">
        <f t="shared" si="18"/>
        <v/>
      </c>
      <c r="H88" s="34" t="str">
        <f t="shared" si="15"/>
        <v/>
      </c>
      <c r="I88" s="34" t="str">
        <f t="shared" si="16"/>
        <v/>
      </c>
      <c r="J88" s="84"/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</row>
    <row r="89" spans="1:28" ht="15.75" thickBot="1">
      <c r="A89" s="2"/>
      <c r="B89" s="23"/>
      <c r="C89" s="32" t="str">
        <f t="shared" si="17"/>
        <v/>
      </c>
      <c r="D89" s="32" t="str">
        <f t="shared" si="13"/>
        <v/>
      </c>
      <c r="E89" s="32" t="str">
        <f t="shared" si="14"/>
        <v/>
      </c>
      <c r="F89" s="32" t="str">
        <f t="shared" si="19"/>
        <v/>
      </c>
      <c r="G89" s="33" t="str">
        <f t="shared" si="18"/>
        <v/>
      </c>
      <c r="H89" s="34" t="str">
        <f t="shared" si="15"/>
        <v/>
      </c>
      <c r="I89" s="34" t="str">
        <f t="shared" si="16"/>
        <v/>
      </c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</row>
    <row r="90" spans="1:28" ht="15.75" thickBot="1">
      <c r="A90" s="2"/>
      <c r="B90" s="23"/>
      <c r="C90" s="32" t="str">
        <f t="shared" si="17"/>
        <v/>
      </c>
      <c r="D90" s="32" t="str">
        <f t="shared" si="13"/>
        <v/>
      </c>
      <c r="E90" s="32" t="str">
        <f t="shared" si="14"/>
        <v/>
      </c>
      <c r="F90" s="32" t="str">
        <f t="shared" si="19"/>
        <v/>
      </c>
      <c r="G90" s="33" t="str">
        <f t="shared" si="18"/>
        <v/>
      </c>
      <c r="H90" s="34" t="str">
        <f t="shared" si="15"/>
        <v/>
      </c>
      <c r="I90" s="34" t="str">
        <f t="shared" si="16"/>
        <v/>
      </c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</row>
    <row r="91" spans="1:28" ht="15.75" thickBot="1">
      <c r="A91" s="2"/>
      <c r="B91" s="23"/>
      <c r="C91" s="32" t="str">
        <f t="shared" si="17"/>
        <v/>
      </c>
      <c r="D91" s="32" t="str">
        <f t="shared" si="13"/>
        <v/>
      </c>
      <c r="E91" s="32" t="str">
        <f t="shared" si="14"/>
        <v/>
      </c>
      <c r="F91" s="32" t="str">
        <f t="shared" si="19"/>
        <v/>
      </c>
      <c r="G91" s="33" t="str">
        <f t="shared" si="18"/>
        <v/>
      </c>
      <c r="H91" s="34" t="str">
        <f t="shared" si="15"/>
        <v/>
      </c>
      <c r="I91" s="34" t="str">
        <f t="shared" si="16"/>
        <v/>
      </c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</row>
    <row r="92" spans="1:28" ht="15.75" thickBot="1">
      <c r="A92" s="2"/>
      <c r="B92" s="23"/>
      <c r="C92" s="32" t="str">
        <f t="shared" si="17"/>
        <v/>
      </c>
      <c r="D92" s="32" t="str">
        <f t="shared" si="13"/>
        <v/>
      </c>
      <c r="E92" s="32" t="str">
        <f t="shared" si="14"/>
        <v/>
      </c>
      <c r="F92" s="32" t="str">
        <f t="shared" si="19"/>
        <v/>
      </c>
      <c r="G92" s="33" t="str">
        <f t="shared" si="18"/>
        <v/>
      </c>
      <c r="H92" s="34" t="str">
        <f t="shared" si="15"/>
        <v/>
      </c>
      <c r="I92" s="34" t="str">
        <f t="shared" si="16"/>
        <v/>
      </c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</row>
    <row r="93" spans="1:28" ht="15.75" thickBot="1">
      <c r="A93" s="2"/>
      <c r="B93" s="23"/>
      <c r="C93" s="32" t="str">
        <f t="shared" si="17"/>
        <v/>
      </c>
      <c r="D93" s="32" t="str">
        <f t="shared" si="13"/>
        <v/>
      </c>
      <c r="E93" s="32" t="str">
        <f t="shared" si="14"/>
        <v/>
      </c>
      <c r="F93" s="32" t="str">
        <f t="shared" si="19"/>
        <v/>
      </c>
      <c r="G93" s="33" t="str">
        <f t="shared" si="18"/>
        <v/>
      </c>
      <c r="H93" s="34" t="str">
        <f t="shared" si="15"/>
        <v/>
      </c>
      <c r="I93" s="34" t="str">
        <f t="shared" si="16"/>
        <v/>
      </c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</row>
    <row r="94" spans="1:28" ht="15.75" thickBot="1">
      <c r="A94" s="2"/>
      <c r="B94" s="23"/>
      <c r="C94" s="32" t="str">
        <f t="shared" si="17"/>
        <v/>
      </c>
      <c r="D94" s="32" t="str">
        <f t="shared" si="13"/>
        <v/>
      </c>
      <c r="E94" s="32" t="str">
        <f t="shared" si="14"/>
        <v/>
      </c>
      <c r="F94" s="32" t="str">
        <f t="shared" si="19"/>
        <v/>
      </c>
      <c r="G94" s="33" t="str">
        <f t="shared" si="18"/>
        <v/>
      </c>
      <c r="H94" s="34" t="str">
        <f t="shared" si="15"/>
        <v/>
      </c>
      <c r="I94" s="34" t="str">
        <f t="shared" si="16"/>
        <v/>
      </c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</row>
    <row r="95" spans="1:28" ht="15.75" thickBot="1">
      <c r="A95" s="2"/>
      <c r="B95" s="23"/>
      <c r="C95" s="32" t="str">
        <f t="shared" si="17"/>
        <v/>
      </c>
      <c r="D95" s="32" t="str">
        <f t="shared" si="13"/>
        <v/>
      </c>
      <c r="E95" s="32" t="str">
        <f t="shared" si="14"/>
        <v/>
      </c>
      <c r="F95" s="32" t="str">
        <f t="shared" si="19"/>
        <v/>
      </c>
      <c r="G95" s="33" t="str">
        <f t="shared" si="18"/>
        <v/>
      </c>
      <c r="H95" s="34" t="str">
        <f t="shared" si="15"/>
        <v/>
      </c>
      <c r="I95" s="34" t="str">
        <f t="shared" si="16"/>
        <v/>
      </c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</row>
    <row r="96" spans="1:28" ht="15.75" thickBot="1">
      <c r="A96" s="2"/>
      <c r="B96" s="23"/>
      <c r="C96" s="32" t="str">
        <f t="shared" si="17"/>
        <v/>
      </c>
      <c r="D96" s="32" t="str">
        <f t="shared" si="13"/>
        <v/>
      </c>
      <c r="E96" s="32" t="str">
        <f t="shared" si="14"/>
        <v/>
      </c>
      <c r="F96" s="32" t="str">
        <f t="shared" si="19"/>
        <v/>
      </c>
      <c r="G96" s="33" t="str">
        <f t="shared" si="18"/>
        <v/>
      </c>
      <c r="H96" s="34" t="str">
        <f t="shared" si="15"/>
        <v/>
      </c>
      <c r="I96" s="34" t="str">
        <f t="shared" si="16"/>
        <v/>
      </c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</row>
    <row r="97" spans="1:28" ht="15.75" thickBot="1">
      <c r="A97" s="2"/>
      <c r="B97" s="23"/>
      <c r="C97" s="32" t="str">
        <f t="shared" si="17"/>
        <v/>
      </c>
      <c r="D97" s="32" t="str">
        <f t="shared" si="13"/>
        <v/>
      </c>
      <c r="E97" s="32" t="str">
        <f t="shared" si="14"/>
        <v/>
      </c>
      <c r="F97" s="32" t="str">
        <f t="shared" si="19"/>
        <v/>
      </c>
      <c r="G97" s="33" t="str">
        <f t="shared" si="18"/>
        <v/>
      </c>
      <c r="H97" s="34" t="str">
        <f t="shared" si="15"/>
        <v/>
      </c>
      <c r="I97" s="34" t="str">
        <f t="shared" si="16"/>
        <v/>
      </c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</row>
    <row r="98" spans="1:28" ht="15.75" thickBot="1">
      <c r="A98" s="2"/>
      <c r="B98" s="23"/>
      <c r="C98" s="32" t="str">
        <f t="shared" si="17"/>
        <v/>
      </c>
      <c r="D98" s="32" t="str">
        <f t="shared" si="13"/>
        <v/>
      </c>
      <c r="E98" s="32" t="str">
        <f t="shared" si="14"/>
        <v/>
      </c>
      <c r="F98" s="32" t="str">
        <f t="shared" si="19"/>
        <v/>
      </c>
      <c r="G98" s="33" t="str">
        <f t="shared" si="18"/>
        <v/>
      </c>
      <c r="H98" s="34" t="str">
        <f t="shared" si="15"/>
        <v/>
      </c>
      <c r="I98" s="34" t="str">
        <f t="shared" si="16"/>
        <v/>
      </c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</row>
    <row r="99" spans="1:28" ht="15.75" thickBot="1">
      <c r="A99" s="2"/>
      <c r="B99" s="23"/>
      <c r="C99" s="32" t="str">
        <f t="shared" si="17"/>
        <v/>
      </c>
      <c r="D99" s="32" t="str">
        <f t="shared" si="13"/>
        <v/>
      </c>
      <c r="E99" s="32" t="str">
        <f t="shared" si="14"/>
        <v/>
      </c>
      <c r="F99" s="32" t="str">
        <f t="shared" si="19"/>
        <v/>
      </c>
      <c r="G99" s="33" t="str">
        <f t="shared" si="18"/>
        <v/>
      </c>
      <c r="H99" s="34" t="str">
        <f t="shared" si="15"/>
        <v/>
      </c>
      <c r="I99" s="34" t="str">
        <f t="shared" si="16"/>
        <v/>
      </c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</row>
    <row r="100" spans="1:28" ht="15.75" thickBot="1">
      <c r="A100" s="2"/>
      <c r="B100" s="23"/>
      <c r="C100" s="32" t="str">
        <f t="shared" si="17"/>
        <v/>
      </c>
      <c r="D100" s="32" t="str">
        <f t="shared" si="13"/>
        <v/>
      </c>
      <c r="E100" s="32" t="str">
        <f t="shared" si="14"/>
        <v/>
      </c>
      <c r="F100" s="32" t="str">
        <f t="shared" si="19"/>
        <v/>
      </c>
      <c r="G100" s="33" t="str">
        <f t="shared" si="18"/>
        <v/>
      </c>
      <c r="H100" s="34" t="str">
        <f t="shared" si="15"/>
        <v/>
      </c>
      <c r="I100" s="34" t="str">
        <f t="shared" si="16"/>
        <v/>
      </c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</row>
    <row r="101" spans="1:28" ht="15.75" thickBot="1">
      <c r="A101" s="2"/>
      <c r="B101" s="23"/>
      <c r="C101" s="32" t="str">
        <f t="shared" si="17"/>
        <v/>
      </c>
      <c r="D101" s="32" t="str">
        <f t="shared" si="13"/>
        <v/>
      </c>
      <c r="E101" s="32" t="str">
        <f t="shared" si="14"/>
        <v/>
      </c>
      <c r="F101" s="32" t="str">
        <f t="shared" si="19"/>
        <v/>
      </c>
      <c r="G101" s="33" t="str">
        <f t="shared" si="18"/>
        <v/>
      </c>
      <c r="H101" s="34" t="str">
        <f t="shared" si="15"/>
        <v/>
      </c>
      <c r="I101" s="34" t="str">
        <f t="shared" si="16"/>
        <v/>
      </c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</row>
    <row r="102" spans="1:28" ht="15.75" thickBot="1">
      <c r="A102" s="2"/>
      <c r="B102" s="23"/>
      <c r="C102" s="32" t="str">
        <f t="shared" si="17"/>
        <v/>
      </c>
      <c r="D102" s="32" t="str">
        <f t="shared" si="13"/>
        <v/>
      </c>
      <c r="E102" s="32" t="str">
        <f t="shared" si="14"/>
        <v/>
      </c>
      <c r="F102" s="32" t="str">
        <f t="shared" si="19"/>
        <v/>
      </c>
      <c r="G102" s="33" t="str">
        <f t="shared" si="18"/>
        <v/>
      </c>
      <c r="H102" s="34" t="str">
        <f t="shared" si="15"/>
        <v/>
      </c>
      <c r="I102" s="34" t="str">
        <f t="shared" si="16"/>
        <v/>
      </c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</row>
    <row r="103" spans="1:28" ht="15.75" thickBot="1">
      <c r="A103" s="2"/>
      <c r="B103" s="23"/>
      <c r="C103" s="32" t="str">
        <f t="shared" si="17"/>
        <v/>
      </c>
      <c r="D103" s="32" t="str">
        <f t="shared" si="13"/>
        <v/>
      </c>
      <c r="E103" s="32" t="str">
        <f t="shared" si="14"/>
        <v/>
      </c>
      <c r="F103" s="32" t="str">
        <f t="shared" si="19"/>
        <v/>
      </c>
      <c r="G103" s="33" t="str">
        <f t="shared" si="18"/>
        <v/>
      </c>
      <c r="H103" s="34" t="str">
        <f t="shared" si="15"/>
        <v/>
      </c>
      <c r="I103" s="34" t="str">
        <f t="shared" si="16"/>
        <v/>
      </c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</row>
    <row r="104" spans="1:28" ht="15.75" thickBot="1">
      <c r="A104" s="2"/>
      <c r="B104" s="23"/>
      <c r="C104" s="32" t="str">
        <f t="shared" si="17"/>
        <v/>
      </c>
      <c r="D104" s="32" t="str">
        <f t="shared" si="13"/>
        <v/>
      </c>
      <c r="E104" s="32" t="str">
        <f t="shared" si="14"/>
        <v/>
      </c>
      <c r="F104" s="32" t="str">
        <f t="shared" si="19"/>
        <v/>
      </c>
      <c r="G104" s="33" t="str">
        <f t="shared" si="18"/>
        <v/>
      </c>
      <c r="H104" s="34" t="str">
        <f t="shared" si="15"/>
        <v/>
      </c>
      <c r="I104" s="34" t="str">
        <f t="shared" si="16"/>
        <v/>
      </c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</row>
    <row r="105" spans="1:28" ht="15.75" thickBot="1">
      <c r="A105" s="2"/>
      <c r="B105" s="24"/>
      <c r="C105" s="32" t="str">
        <f t="shared" si="17"/>
        <v/>
      </c>
      <c r="D105" s="32" t="str">
        <f t="shared" ref="D105:D116" si="20">IF(B105&lt;&gt;0,C105+3*(G105/$I$5),"")</f>
        <v/>
      </c>
      <c r="E105" s="32" t="str">
        <f t="shared" ref="E105:E116" si="21">IF(B105&lt;&gt;0,C105-3*(G105/$I$5),"")</f>
        <v/>
      </c>
      <c r="F105" s="32" t="str">
        <f t="shared" si="19"/>
        <v/>
      </c>
      <c r="G105" s="33" t="str">
        <f t="shared" si="18"/>
        <v/>
      </c>
      <c r="H105" s="34" t="str">
        <f t="shared" ref="H105:H116" si="22">IF(SUM(B105:B105)&gt;0,$I$4*G105,"")</f>
        <v/>
      </c>
      <c r="I105" s="34" t="str">
        <f t="shared" ref="I105:I116" si="23">IF(SUM(B105:B105)&gt;0,$I$3*G105,"")</f>
        <v/>
      </c>
      <c r="J105" s="84"/>
      <c r="K105" s="84"/>
      <c r="L105" s="84"/>
      <c r="M105" s="84"/>
      <c r="N105" s="84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</row>
    <row r="106" spans="1:28" ht="15.75" thickBot="1">
      <c r="A106" s="2"/>
      <c r="B106" s="24"/>
      <c r="C106" s="32" t="str">
        <f t="shared" si="17"/>
        <v/>
      </c>
      <c r="D106" s="32" t="str">
        <f t="shared" si="20"/>
        <v/>
      </c>
      <c r="E106" s="32" t="str">
        <f t="shared" si="21"/>
        <v/>
      </c>
      <c r="F106" s="32" t="str">
        <f t="shared" si="19"/>
        <v/>
      </c>
      <c r="G106" s="33" t="str">
        <f t="shared" ref="G106:G116" si="24">IF(SUM(B106:B106)&gt;0,AVERAGE($F$9:$F$116),"")</f>
        <v/>
      </c>
      <c r="H106" s="34" t="str">
        <f t="shared" si="22"/>
        <v/>
      </c>
      <c r="I106" s="34" t="str">
        <f t="shared" si="23"/>
        <v/>
      </c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</row>
    <row r="107" spans="1:28" ht="15.75" thickBot="1">
      <c r="A107" s="2"/>
      <c r="B107" s="24"/>
      <c r="C107" s="32" t="str">
        <f t="shared" si="17"/>
        <v/>
      </c>
      <c r="D107" s="32" t="str">
        <f t="shared" si="20"/>
        <v/>
      </c>
      <c r="E107" s="32" t="str">
        <f t="shared" si="21"/>
        <v/>
      </c>
      <c r="F107" s="32" t="str">
        <f t="shared" si="19"/>
        <v/>
      </c>
      <c r="G107" s="33" t="str">
        <f t="shared" si="24"/>
        <v/>
      </c>
      <c r="H107" s="34" t="str">
        <f t="shared" si="22"/>
        <v/>
      </c>
      <c r="I107" s="34" t="str">
        <f t="shared" si="23"/>
        <v/>
      </c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</row>
    <row r="108" spans="1:28" ht="15.75" thickBot="1">
      <c r="A108" s="2"/>
      <c r="B108" s="24"/>
      <c r="C108" s="32" t="str">
        <f t="shared" si="17"/>
        <v/>
      </c>
      <c r="D108" s="32" t="str">
        <f t="shared" si="20"/>
        <v/>
      </c>
      <c r="E108" s="32" t="str">
        <f t="shared" si="21"/>
        <v/>
      </c>
      <c r="F108" s="32" t="str">
        <f t="shared" si="19"/>
        <v/>
      </c>
      <c r="G108" s="33" t="str">
        <f t="shared" si="24"/>
        <v/>
      </c>
      <c r="H108" s="34" t="str">
        <f t="shared" si="22"/>
        <v/>
      </c>
      <c r="I108" s="34" t="str">
        <f t="shared" si="23"/>
        <v/>
      </c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</row>
    <row r="109" spans="1:28" ht="15.75" thickBot="1">
      <c r="A109" s="2"/>
      <c r="B109" s="24"/>
      <c r="C109" s="32" t="str">
        <f t="shared" si="17"/>
        <v/>
      </c>
      <c r="D109" s="32" t="str">
        <f t="shared" si="20"/>
        <v/>
      </c>
      <c r="E109" s="32" t="str">
        <f t="shared" si="21"/>
        <v/>
      </c>
      <c r="F109" s="32" t="str">
        <f t="shared" ref="F109:F116" si="25">IF(AND(B109&lt;&gt;0,$I$2&lt;&gt;0),IF($I$2=2,ABS(B108-B109),IF($I$2=3,MAX(B107:B109)-MIN(B107:B109),IF($I$2=4,MAX(B106:B109)-MIN(B106:B109),IF($I$2=5,MAX(B105:B109)-MIN(B105:B109),"")))),"")</f>
        <v/>
      </c>
      <c r="G109" s="33" t="str">
        <f t="shared" si="24"/>
        <v/>
      </c>
      <c r="H109" s="34" t="str">
        <f t="shared" si="22"/>
        <v/>
      </c>
      <c r="I109" s="34" t="str">
        <f t="shared" si="23"/>
        <v/>
      </c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</row>
    <row r="110" spans="1:28" ht="15.75" thickBot="1">
      <c r="A110" s="2"/>
      <c r="B110" s="24"/>
      <c r="C110" s="32" t="str">
        <f t="shared" si="17"/>
        <v/>
      </c>
      <c r="D110" s="32" t="str">
        <f t="shared" si="20"/>
        <v/>
      </c>
      <c r="E110" s="32" t="str">
        <f t="shared" si="21"/>
        <v/>
      </c>
      <c r="F110" s="32" t="str">
        <f t="shared" si="25"/>
        <v/>
      </c>
      <c r="G110" s="33" t="str">
        <f t="shared" si="24"/>
        <v/>
      </c>
      <c r="H110" s="34" t="str">
        <f t="shared" si="22"/>
        <v/>
      </c>
      <c r="I110" s="34" t="str">
        <f t="shared" si="23"/>
        <v/>
      </c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</row>
    <row r="111" spans="1:28" ht="15.75" thickBot="1">
      <c r="A111" s="2"/>
      <c r="B111" s="24"/>
      <c r="C111" s="32" t="str">
        <f t="shared" si="17"/>
        <v/>
      </c>
      <c r="D111" s="32" t="str">
        <f t="shared" si="20"/>
        <v/>
      </c>
      <c r="E111" s="32" t="str">
        <f t="shared" si="21"/>
        <v/>
      </c>
      <c r="F111" s="32" t="str">
        <f t="shared" si="25"/>
        <v/>
      </c>
      <c r="G111" s="33" t="str">
        <f t="shared" si="24"/>
        <v/>
      </c>
      <c r="H111" s="34" t="str">
        <f t="shared" si="22"/>
        <v/>
      </c>
      <c r="I111" s="34" t="str">
        <f t="shared" si="23"/>
        <v/>
      </c>
      <c r="J111" s="84"/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  <c r="W111" s="84"/>
      <c r="X111" s="84"/>
      <c r="Y111" s="84"/>
      <c r="Z111" s="84"/>
      <c r="AA111" s="84"/>
      <c r="AB111" s="84"/>
    </row>
    <row r="112" spans="1:28" ht="15.75" thickBot="1">
      <c r="A112" s="2"/>
      <c r="B112" s="24"/>
      <c r="C112" s="32" t="str">
        <f t="shared" si="17"/>
        <v/>
      </c>
      <c r="D112" s="32" t="str">
        <f t="shared" si="20"/>
        <v/>
      </c>
      <c r="E112" s="32" t="str">
        <f t="shared" si="21"/>
        <v/>
      </c>
      <c r="F112" s="32" t="str">
        <f t="shared" si="25"/>
        <v/>
      </c>
      <c r="G112" s="33" t="str">
        <f t="shared" si="24"/>
        <v/>
      </c>
      <c r="H112" s="34" t="str">
        <f t="shared" si="22"/>
        <v/>
      </c>
      <c r="I112" s="34" t="str">
        <f t="shared" si="23"/>
        <v/>
      </c>
      <c r="J112" s="84"/>
      <c r="K112" s="84"/>
      <c r="L112" s="84"/>
      <c r="M112" s="84"/>
      <c r="N112" s="84"/>
      <c r="O112" s="84"/>
      <c r="P112" s="84"/>
      <c r="Q112" s="84"/>
      <c r="R112" s="84"/>
      <c r="S112" s="84"/>
      <c r="T112" s="84"/>
      <c r="U112" s="84"/>
      <c r="V112" s="84"/>
      <c r="W112" s="84"/>
      <c r="X112" s="84"/>
      <c r="Y112" s="84"/>
      <c r="Z112" s="84"/>
      <c r="AA112" s="84"/>
      <c r="AB112" s="84"/>
    </row>
    <row r="113" spans="1:28" ht="15.75" thickBot="1">
      <c r="A113" s="2"/>
      <c r="B113" s="24"/>
      <c r="C113" s="32" t="str">
        <f t="shared" si="17"/>
        <v/>
      </c>
      <c r="D113" s="32" t="str">
        <f t="shared" si="20"/>
        <v/>
      </c>
      <c r="E113" s="32" t="str">
        <f t="shared" si="21"/>
        <v/>
      </c>
      <c r="F113" s="32" t="str">
        <f t="shared" si="25"/>
        <v/>
      </c>
      <c r="G113" s="33" t="str">
        <f t="shared" si="24"/>
        <v/>
      </c>
      <c r="H113" s="34" t="str">
        <f t="shared" si="22"/>
        <v/>
      </c>
      <c r="I113" s="34" t="str">
        <f t="shared" si="23"/>
        <v/>
      </c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</row>
    <row r="114" spans="1:28" ht="15.75" thickBot="1">
      <c r="A114" s="2"/>
      <c r="B114" s="24"/>
      <c r="C114" s="32" t="str">
        <f t="shared" si="17"/>
        <v/>
      </c>
      <c r="D114" s="32" t="str">
        <f t="shared" si="20"/>
        <v/>
      </c>
      <c r="E114" s="32" t="str">
        <f t="shared" si="21"/>
        <v/>
      </c>
      <c r="F114" s="32" t="str">
        <f t="shared" si="25"/>
        <v/>
      </c>
      <c r="G114" s="33" t="str">
        <f t="shared" si="24"/>
        <v/>
      </c>
      <c r="H114" s="34" t="str">
        <f t="shared" si="22"/>
        <v/>
      </c>
      <c r="I114" s="34" t="str">
        <f t="shared" si="23"/>
        <v/>
      </c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</row>
    <row r="115" spans="1:28" ht="15.75" thickBot="1">
      <c r="A115" s="2"/>
      <c r="B115" s="24"/>
      <c r="C115" s="32" t="str">
        <f t="shared" si="17"/>
        <v/>
      </c>
      <c r="D115" s="32" t="str">
        <f t="shared" si="20"/>
        <v/>
      </c>
      <c r="E115" s="32" t="str">
        <f t="shared" si="21"/>
        <v/>
      </c>
      <c r="F115" s="32" t="str">
        <f t="shared" si="25"/>
        <v/>
      </c>
      <c r="G115" s="33" t="str">
        <f t="shared" si="24"/>
        <v/>
      </c>
      <c r="H115" s="34" t="str">
        <f t="shared" si="22"/>
        <v/>
      </c>
      <c r="I115" s="34" t="str">
        <f t="shared" si="23"/>
        <v/>
      </c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</row>
    <row r="116" spans="1:28" ht="15.75" thickBot="1">
      <c r="A116" s="2"/>
      <c r="B116" s="24"/>
      <c r="C116" s="32" t="str">
        <f t="shared" si="17"/>
        <v/>
      </c>
      <c r="D116" s="32" t="str">
        <f t="shared" si="20"/>
        <v/>
      </c>
      <c r="E116" s="32" t="str">
        <f t="shared" si="21"/>
        <v/>
      </c>
      <c r="F116" s="32" t="str">
        <f t="shared" si="25"/>
        <v/>
      </c>
      <c r="G116" s="33" t="str">
        <f t="shared" si="24"/>
        <v/>
      </c>
      <c r="H116" s="34" t="str">
        <f t="shared" si="22"/>
        <v/>
      </c>
      <c r="I116" s="34" t="str">
        <f t="shared" si="23"/>
        <v/>
      </c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</row>
    <row r="117" spans="1:28">
      <c r="A117" s="84"/>
      <c r="B117" s="84"/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</row>
  </sheetData>
  <mergeCells count="11">
    <mergeCell ref="M8:N8"/>
    <mergeCell ref="P8:Q8"/>
    <mergeCell ref="T8:U8"/>
    <mergeCell ref="W8:X8"/>
    <mergeCell ref="B7:E7"/>
    <mergeCell ref="F7:I7"/>
    <mergeCell ref="G1:H1"/>
    <mergeCell ref="G2:H2"/>
    <mergeCell ref="O3:V3"/>
    <mergeCell ref="L6:R6"/>
    <mergeCell ref="S6:Y6"/>
  </mergeCells>
  <conditionalFormatting sqref="B9:B116">
    <cfRule type="expression" dxfId="15" priority="4">
      <formula>B9&lt;E9</formula>
    </cfRule>
    <cfRule type="expression" dxfId="14" priority="5">
      <formula>B9&gt;D9</formula>
    </cfRule>
  </conditionalFormatting>
  <hyperlinks>
    <hyperlink ref="B2" location="INICIO!A1" display="INICIO" xr:uid="{00000000-0004-0000-0500-000000000000}"/>
    <hyperlink ref="B3" location="'GRÁFICO X-S (n cambiante)'!A1" display="ATRÁS" xr:uid="{00000000-0004-0000-0500-000001000000}"/>
    <hyperlink ref="B4" location="'GRÁFICO P'!A1" display="SIGUIENTE" xr:uid="{00000000-0004-0000-0500-000002000000}"/>
    <hyperlink ref="B5" location="RESULTADOSI" display="RESULTADOS" xr:uid="{00000000-0004-0000-0500-000003000000}"/>
    <hyperlink ref="AA2" location="INICIO!A1" display="INICIO" xr:uid="{00000000-0004-0000-0500-000004000000}"/>
    <hyperlink ref="AA3" location="'GRÁFICO X-S (n cambiante)'!A1" display="ATRÁS" xr:uid="{00000000-0004-0000-0500-000005000000}"/>
    <hyperlink ref="AA4" location="'GRÁFICO P'!A1" display="SIGUIENTE" xr:uid="{00000000-0004-0000-0500-000006000000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FF66FF"/>
  </sheetPr>
  <dimension ref="A1:AI120"/>
  <sheetViews>
    <sheetView zoomScale="96" zoomScaleNormal="96" workbookViewId="0">
      <selection activeCell="G28" sqref="G28"/>
    </sheetView>
  </sheetViews>
  <sheetFormatPr baseColWidth="10" defaultRowHeight="15"/>
  <cols>
    <col min="2" max="2" width="15.5703125" customWidth="1"/>
    <col min="3" max="3" width="25" customWidth="1"/>
    <col min="4" max="4" width="35.85546875" bestFit="1" customWidth="1"/>
    <col min="5" max="5" width="14.7109375" style="84" customWidth="1"/>
    <col min="6" max="6" width="35.85546875" style="84" bestFit="1" customWidth="1"/>
    <col min="7" max="7" width="25.42578125" customWidth="1"/>
    <col min="9" max="9" width="11.42578125" style="84"/>
    <col min="11" max="11" width="11.42578125" style="84"/>
    <col min="12" max="12" width="36.28515625" style="84" bestFit="1" customWidth="1"/>
    <col min="13" max="13" width="36.28515625" bestFit="1" customWidth="1"/>
    <col min="14" max="14" width="11.42578125" style="84"/>
    <col min="21" max="22" width="19.140625" customWidth="1"/>
    <col min="24" max="24" width="15.28515625" customWidth="1"/>
    <col min="28" max="28" width="21.85546875" customWidth="1"/>
    <col min="31" max="31" width="18.5703125" customWidth="1"/>
    <col min="35" max="35" width="13.28515625" bestFit="1" customWidth="1"/>
  </cols>
  <sheetData>
    <row r="1" spans="1:35" ht="15.75" thickBot="1">
      <c r="A1" s="84"/>
      <c r="B1" s="84"/>
      <c r="C1" s="84"/>
      <c r="D1" s="84"/>
      <c r="G1" s="4"/>
      <c r="H1" s="4"/>
      <c r="I1" s="4"/>
      <c r="J1" s="4"/>
      <c r="K1" s="4"/>
      <c r="L1" s="4"/>
      <c r="M1" s="84"/>
      <c r="O1" s="58"/>
      <c r="P1" s="84"/>
      <c r="Q1" s="84"/>
      <c r="R1" s="84"/>
      <c r="S1" s="57"/>
      <c r="T1" s="57"/>
      <c r="U1" s="57"/>
      <c r="V1" s="57"/>
      <c r="W1" s="93"/>
      <c r="X1" s="93"/>
      <c r="Y1" s="93"/>
      <c r="Z1" s="93"/>
      <c r="AA1" s="84"/>
      <c r="AB1" s="84"/>
      <c r="AC1" s="84"/>
      <c r="AD1" s="84"/>
      <c r="AE1" s="84"/>
      <c r="AF1" s="84"/>
      <c r="AG1" s="84"/>
      <c r="AH1" s="84"/>
      <c r="AI1" s="84"/>
    </row>
    <row r="2" spans="1:35" ht="19.5" thickBot="1">
      <c r="A2" s="84"/>
      <c r="B2" s="43" t="s">
        <v>27</v>
      </c>
      <c r="C2" s="84"/>
      <c r="D2" s="84"/>
      <c r="G2" s="247" t="s">
        <v>64</v>
      </c>
      <c r="H2" s="248"/>
      <c r="I2" s="97">
        <f>AVERAGE(B9:B116)/I3</f>
        <v>2.2000000000000002E-2</v>
      </c>
      <c r="J2" s="4"/>
      <c r="K2" s="107"/>
      <c r="L2" s="107"/>
      <c r="M2" s="84"/>
      <c r="O2" s="58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43" t="s">
        <v>27</v>
      </c>
    </row>
    <row r="3" spans="1:35" ht="21.75" thickBot="1">
      <c r="A3" s="84"/>
      <c r="B3" s="125" t="s">
        <v>29</v>
      </c>
      <c r="C3" s="84"/>
      <c r="D3" s="84"/>
      <c r="G3" s="275" t="s">
        <v>65</v>
      </c>
      <c r="H3" s="275"/>
      <c r="I3" s="108">
        <f>AVERAGE(C9:C116)</f>
        <v>100</v>
      </c>
      <c r="J3" s="4"/>
      <c r="K3" s="107"/>
      <c r="L3" s="107"/>
      <c r="M3" s="84"/>
      <c r="O3" s="58"/>
      <c r="P3" s="84"/>
      <c r="Q3" s="84"/>
      <c r="R3" s="58"/>
      <c r="S3" s="58"/>
      <c r="T3" s="84"/>
      <c r="U3" s="58"/>
      <c r="V3" s="249" t="s">
        <v>30</v>
      </c>
      <c r="W3" s="250"/>
      <c r="X3" s="250"/>
      <c r="Y3" s="250"/>
      <c r="Z3" s="250"/>
      <c r="AA3" s="250"/>
      <c r="AB3" s="250"/>
      <c r="AC3" s="251"/>
      <c r="AD3" s="84"/>
      <c r="AE3" s="84"/>
      <c r="AF3" s="84"/>
      <c r="AG3" s="84"/>
      <c r="AH3" s="84"/>
      <c r="AI3" s="130" t="s">
        <v>29</v>
      </c>
    </row>
    <row r="4" spans="1:35" ht="19.5" thickBot="1">
      <c r="A4" s="84"/>
      <c r="B4" s="127" t="s">
        <v>28</v>
      </c>
      <c r="C4" s="84"/>
      <c r="D4" s="84"/>
      <c r="E4" s="107"/>
      <c r="F4" s="107"/>
      <c r="G4" s="107"/>
      <c r="H4" s="107"/>
      <c r="I4" s="107"/>
      <c r="J4" s="4"/>
      <c r="K4" s="107"/>
      <c r="L4" s="107"/>
      <c r="M4" s="84"/>
      <c r="O4" s="58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104" t="s">
        <v>28</v>
      </c>
    </row>
    <row r="5" spans="1:35" ht="16.5" thickBot="1">
      <c r="A5" s="84"/>
      <c r="B5" s="126" t="s">
        <v>30</v>
      </c>
      <c r="C5" s="84"/>
      <c r="D5" s="84"/>
      <c r="E5" s="107"/>
      <c r="F5" s="107"/>
      <c r="G5" s="107"/>
      <c r="H5" s="107"/>
      <c r="I5" s="107"/>
      <c r="J5" s="107"/>
      <c r="K5" s="107"/>
      <c r="L5" s="107"/>
      <c r="M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</row>
    <row r="6" spans="1:35" ht="15.75" thickBot="1">
      <c r="A6" s="84"/>
      <c r="B6" s="84"/>
      <c r="C6" s="84"/>
      <c r="G6" s="84"/>
      <c r="H6" s="84"/>
      <c r="J6" s="84"/>
      <c r="M6" s="84"/>
      <c r="O6" s="84"/>
      <c r="P6" s="84"/>
      <c r="Q6" s="84"/>
      <c r="R6" s="84"/>
      <c r="S6" s="252" t="s">
        <v>67</v>
      </c>
      <c r="T6" s="253"/>
      <c r="U6" s="253"/>
      <c r="V6" s="253"/>
      <c r="W6" s="253"/>
      <c r="X6" s="253"/>
      <c r="Y6" s="254"/>
      <c r="Z6" s="255" t="s">
        <v>68</v>
      </c>
      <c r="AA6" s="256"/>
      <c r="AB6" s="256"/>
      <c r="AC6" s="256"/>
      <c r="AD6" s="256"/>
      <c r="AE6" s="256"/>
      <c r="AF6" s="257"/>
      <c r="AG6" s="84"/>
      <c r="AH6" s="84"/>
      <c r="AI6" s="84"/>
    </row>
    <row r="7" spans="1:35" ht="15.75" thickBot="1">
      <c r="A7" s="4"/>
      <c r="B7" s="276" t="s">
        <v>1</v>
      </c>
      <c r="C7" s="262"/>
      <c r="D7" s="265"/>
      <c r="E7" s="262" t="s">
        <v>61</v>
      </c>
      <c r="F7" s="262"/>
      <c r="G7" s="262"/>
      <c r="H7" s="262"/>
      <c r="I7" s="262"/>
      <c r="J7" s="265"/>
      <c r="L7" s="276" t="s">
        <v>69</v>
      </c>
      <c r="M7" s="262"/>
      <c r="N7" s="262"/>
      <c r="O7" s="262"/>
      <c r="P7" s="262"/>
      <c r="Q7" s="265"/>
      <c r="R7" s="84"/>
      <c r="S7" s="64"/>
      <c r="T7" s="4"/>
      <c r="U7" s="4"/>
      <c r="V7" s="4"/>
      <c r="W7" s="4"/>
      <c r="X7" s="4"/>
      <c r="Y7" s="65"/>
      <c r="Z7" s="64"/>
      <c r="AA7" s="4"/>
      <c r="AB7" s="4"/>
      <c r="AC7" s="4"/>
      <c r="AD7" s="4"/>
      <c r="AE7" s="4"/>
      <c r="AF7" s="65"/>
      <c r="AG7" s="84"/>
      <c r="AH7" s="84"/>
      <c r="AI7" s="84"/>
    </row>
    <row r="8" spans="1:35" ht="15.75" thickBot="1">
      <c r="A8" s="35" t="s">
        <v>0</v>
      </c>
      <c r="B8" s="157" t="s">
        <v>66</v>
      </c>
      <c r="C8" s="158" t="s">
        <v>59</v>
      </c>
      <c r="D8" s="159" t="s">
        <v>60</v>
      </c>
      <c r="E8" s="150" t="s">
        <v>63</v>
      </c>
      <c r="F8" s="114" t="s">
        <v>60</v>
      </c>
      <c r="G8" s="114" t="s">
        <v>62</v>
      </c>
      <c r="H8" s="114" t="s">
        <v>5</v>
      </c>
      <c r="I8" s="114" t="s">
        <v>6</v>
      </c>
      <c r="J8" s="96" t="s">
        <v>6</v>
      </c>
      <c r="L8" s="95" t="s">
        <v>63</v>
      </c>
      <c r="M8" s="116" t="s">
        <v>60</v>
      </c>
      <c r="N8" s="116" t="s">
        <v>62</v>
      </c>
      <c r="O8" s="116" t="s">
        <v>5</v>
      </c>
      <c r="P8" s="116" t="s">
        <v>6</v>
      </c>
      <c r="Q8" s="111" t="s">
        <v>6</v>
      </c>
      <c r="R8" s="84"/>
      <c r="S8" s="64"/>
      <c r="T8" s="245" t="s">
        <v>33</v>
      </c>
      <c r="U8" s="246"/>
      <c r="V8" s="4"/>
      <c r="W8" s="245" t="s">
        <v>36</v>
      </c>
      <c r="X8" s="246"/>
      <c r="Y8" s="65"/>
      <c r="Z8" s="64"/>
      <c r="AA8" s="245" t="s">
        <v>33</v>
      </c>
      <c r="AB8" s="246"/>
      <c r="AC8" s="4"/>
      <c r="AD8" s="245" t="s">
        <v>36</v>
      </c>
      <c r="AE8" s="246"/>
      <c r="AF8" s="65"/>
      <c r="AG8" s="84"/>
      <c r="AH8" s="84"/>
      <c r="AI8" s="84"/>
    </row>
    <row r="9" spans="1:35" ht="15.75" thickBot="1">
      <c r="A9" s="80">
        <v>1</v>
      </c>
      <c r="B9" s="156">
        <v>3</v>
      </c>
      <c r="C9" s="151">
        <v>100</v>
      </c>
      <c r="D9" s="168">
        <f>IF(C9&gt;0,B9/C9,"")</f>
        <v>0.03</v>
      </c>
      <c r="E9" s="172">
        <f t="shared" ref="E9:E40" si="0">IF(C9&gt;0,SQRT((G9*(1-G9))/C9),"")</f>
        <v>1.4668333238647123E-2</v>
      </c>
      <c r="F9" s="160">
        <f>D9</f>
        <v>0.03</v>
      </c>
      <c r="G9" s="161">
        <f t="shared" ref="G9:G40" si="1">IF(C9&gt;0,AVERAGE($B$9:$B$116)/C9,"")</f>
        <v>2.2000000000000002E-2</v>
      </c>
      <c r="H9" s="162">
        <f t="shared" ref="H9:H40" si="2">IF(C9&gt;0,G9+E9*3,"")</f>
        <v>6.600499971594137E-2</v>
      </c>
      <c r="I9" s="162">
        <f>IF(J9&lt;0,0,J9)</f>
        <v>0</v>
      </c>
      <c r="J9" s="163">
        <f t="shared" ref="J9:J40" si="3">IF(C9&gt;0,G9-E9*3,"")</f>
        <v>-2.2004999715941369E-2</v>
      </c>
      <c r="L9" s="120">
        <f>IF(C9&gt;0,SQRT((N9*(1-N9))/($I$3)),"")</f>
        <v>1.4668333238647123E-2</v>
      </c>
      <c r="M9" s="119">
        <f>F9</f>
        <v>0.03</v>
      </c>
      <c r="N9" s="167">
        <f>IF(C9&gt;0,$I$2,"")</f>
        <v>2.2000000000000002E-2</v>
      </c>
      <c r="O9" s="119">
        <f>IF(C9&gt;0,N9+L9*3,"")</f>
        <v>6.600499971594137E-2</v>
      </c>
      <c r="P9" s="119">
        <f>IF(Q9&lt;0,0,Q9)</f>
        <v>0</v>
      </c>
      <c r="Q9" s="113">
        <f>IF(C9&gt;0,N9-L9*3,"")</f>
        <v>-2.2004999715941369E-2</v>
      </c>
      <c r="R9" s="84"/>
      <c r="S9" s="64"/>
      <c r="T9" s="63" t="s">
        <v>5</v>
      </c>
      <c r="U9" s="63">
        <f>COUNTIF($F$9:$F$116,"&gt;"&amp;$H$9)</f>
        <v>0</v>
      </c>
      <c r="V9" s="4"/>
      <c r="W9" s="63" t="s">
        <v>37</v>
      </c>
      <c r="X9" s="59">
        <f>COUNTIF($F$9:$F$116,"&gt;"&amp;$G$9)</f>
        <v>10</v>
      </c>
      <c r="Y9" s="65"/>
      <c r="Z9" s="64"/>
      <c r="AA9" s="63" t="s">
        <v>5</v>
      </c>
      <c r="AB9" s="61">
        <f>COUNTIF($M$9:$M$116,"&gt;"&amp;$O$9)</f>
        <v>0</v>
      </c>
      <c r="AC9" s="4"/>
      <c r="AD9" s="63" t="s">
        <v>5</v>
      </c>
      <c r="AE9" s="61">
        <f>COUNTIF($M$9:$M$116,"&gt;"&amp;N9)</f>
        <v>10</v>
      </c>
      <c r="AF9" s="65"/>
      <c r="AG9" s="84"/>
      <c r="AH9" s="84"/>
      <c r="AI9" s="84"/>
    </row>
    <row r="10" spans="1:35" ht="15.75" thickBot="1">
      <c r="A10" s="80">
        <v>2</v>
      </c>
      <c r="B10" s="105">
        <v>1</v>
      </c>
      <c r="C10" s="72">
        <v>100</v>
      </c>
      <c r="D10" s="169">
        <f t="shared" ref="D10:D73" si="4">IF(C10&lt;&gt;0,B10/C10,"")</f>
        <v>0.01</v>
      </c>
      <c r="E10" s="173">
        <f t="shared" si="0"/>
        <v>1.4668333238647123E-2</v>
      </c>
      <c r="F10" s="164">
        <f t="shared" ref="F10:F73" si="5">D10</f>
        <v>0.01</v>
      </c>
      <c r="G10" s="165">
        <f t="shared" si="1"/>
        <v>2.2000000000000002E-2</v>
      </c>
      <c r="H10" s="166">
        <f t="shared" si="2"/>
        <v>6.600499971594137E-2</v>
      </c>
      <c r="I10" s="166">
        <f t="shared" ref="I10:I73" si="6">IF(J10&lt;0,0,J10)</f>
        <v>0</v>
      </c>
      <c r="J10" s="34">
        <f t="shared" si="3"/>
        <v>-2.2004999715941369E-2</v>
      </c>
      <c r="L10" s="120">
        <f t="shared" ref="L10:L73" si="7">IF(C10&gt;0,SQRT((N10*(1-N10))/($I$3)),"")</f>
        <v>1.4668333238647123E-2</v>
      </c>
      <c r="M10" s="119">
        <f t="shared" ref="M10:M73" si="8">F10</f>
        <v>0.01</v>
      </c>
      <c r="N10" s="167">
        <f t="shared" ref="N10:N73" si="9">IF(C10&gt;0,$I$2,"")</f>
        <v>2.2000000000000002E-2</v>
      </c>
      <c r="O10" s="119">
        <f t="shared" ref="O10:O73" si="10">IF(C10&gt;0,N10+L10*3,"")</f>
        <v>6.600499971594137E-2</v>
      </c>
      <c r="P10" s="119">
        <f t="shared" ref="P10:P73" si="11">IF(Q10&lt;0,0,Q10)</f>
        <v>0</v>
      </c>
      <c r="Q10" s="113">
        <f t="shared" ref="Q10:Q73" si="12">IF(C10&gt;0,N10-L10*3,"")</f>
        <v>-2.2004999715941369E-2</v>
      </c>
      <c r="R10" s="84"/>
      <c r="S10" s="64"/>
      <c r="T10" s="4"/>
      <c r="U10" s="4"/>
      <c r="V10" s="4"/>
      <c r="W10" s="63" t="s">
        <v>38</v>
      </c>
      <c r="X10" s="63">
        <f>COUNTIF($F$9:$F$116,"&lt;"&amp;$G$9)</f>
        <v>15</v>
      </c>
      <c r="Y10" s="65"/>
      <c r="Z10" s="64"/>
      <c r="AA10" s="63" t="s">
        <v>6</v>
      </c>
      <c r="AB10" s="62">
        <f>COUNTIF($M$9:$M$116,"&lt;"&amp;$P$9)</f>
        <v>0</v>
      </c>
      <c r="AC10" s="4"/>
      <c r="AD10" s="63" t="s">
        <v>6</v>
      </c>
      <c r="AE10" s="63">
        <f>COUNTIF($M$9:$M$116,"&lt;"&amp;N10)</f>
        <v>15</v>
      </c>
      <c r="AF10" s="65"/>
      <c r="AG10" s="84"/>
      <c r="AH10" s="84"/>
      <c r="AI10" s="84"/>
    </row>
    <row r="11" spans="1:35" ht="15.75" thickBot="1">
      <c r="A11" s="80">
        <v>3</v>
      </c>
      <c r="B11" s="105">
        <v>0</v>
      </c>
      <c r="C11" s="72">
        <v>100</v>
      </c>
      <c r="D11" s="169">
        <f t="shared" si="4"/>
        <v>0</v>
      </c>
      <c r="E11" s="173">
        <f t="shared" si="0"/>
        <v>1.4668333238647123E-2</v>
      </c>
      <c r="F11" s="164">
        <f t="shared" si="5"/>
        <v>0</v>
      </c>
      <c r="G11" s="165">
        <f t="shared" si="1"/>
        <v>2.2000000000000002E-2</v>
      </c>
      <c r="H11" s="166">
        <f t="shared" si="2"/>
        <v>6.600499971594137E-2</v>
      </c>
      <c r="I11" s="166">
        <f t="shared" si="6"/>
        <v>0</v>
      </c>
      <c r="J11" s="34">
        <f t="shared" si="3"/>
        <v>-2.2004999715941369E-2</v>
      </c>
      <c r="L11" s="120">
        <f t="shared" si="7"/>
        <v>1.4668333238647123E-2</v>
      </c>
      <c r="M11" s="119">
        <f t="shared" si="8"/>
        <v>0</v>
      </c>
      <c r="N11" s="167">
        <f t="shared" si="9"/>
        <v>2.2000000000000002E-2</v>
      </c>
      <c r="O11" s="119">
        <f t="shared" si="10"/>
        <v>6.600499971594137E-2</v>
      </c>
      <c r="P11" s="119">
        <f t="shared" si="11"/>
        <v>0</v>
      </c>
      <c r="Q11" s="113">
        <f t="shared" si="12"/>
        <v>-2.2004999715941369E-2</v>
      </c>
      <c r="R11" s="84"/>
      <c r="S11" s="64"/>
      <c r="T11" s="4"/>
      <c r="U11" s="4"/>
      <c r="V11" s="4"/>
      <c r="W11" s="4"/>
      <c r="X11" s="4"/>
      <c r="Y11" s="65"/>
      <c r="Z11" s="64"/>
      <c r="AA11" s="4"/>
      <c r="AB11" s="4"/>
      <c r="AC11" s="4"/>
      <c r="AD11" s="4"/>
      <c r="AE11" s="4"/>
      <c r="AF11" s="65"/>
      <c r="AG11" s="84"/>
      <c r="AH11" s="84"/>
      <c r="AI11" s="84"/>
    </row>
    <row r="12" spans="1:35" ht="15.75" thickBot="1">
      <c r="A12" s="80">
        <v>4</v>
      </c>
      <c r="B12" s="105">
        <v>0</v>
      </c>
      <c r="C12" s="72">
        <v>100</v>
      </c>
      <c r="D12" s="169">
        <f t="shared" si="4"/>
        <v>0</v>
      </c>
      <c r="E12" s="173">
        <f t="shared" si="0"/>
        <v>1.4668333238647123E-2</v>
      </c>
      <c r="F12" s="164">
        <f t="shared" si="5"/>
        <v>0</v>
      </c>
      <c r="G12" s="165">
        <f t="shared" si="1"/>
        <v>2.2000000000000002E-2</v>
      </c>
      <c r="H12" s="166">
        <f t="shared" si="2"/>
        <v>6.600499971594137E-2</v>
      </c>
      <c r="I12" s="166">
        <f t="shared" si="6"/>
        <v>0</v>
      </c>
      <c r="J12" s="34">
        <f t="shared" si="3"/>
        <v>-2.2004999715941369E-2</v>
      </c>
      <c r="L12" s="120">
        <f t="shared" si="7"/>
        <v>1.4668333238647123E-2</v>
      </c>
      <c r="M12" s="119">
        <f t="shared" si="8"/>
        <v>0</v>
      </c>
      <c r="N12" s="167">
        <f t="shared" si="9"/>
        <v>2.2000000000000002E-2</v>
      </c>
      <c r="O12" s="119">
        <f t="shared" si="10"/>
        <v>6.600499971594137E-2</v>
      </c>
      <c r="P12" s="119">
        <f t="shared" si="11"/>
        <v>0</v>
      </c>
      <c r="Q12" s="113">
        <f t="shared" si="12"/>
        <v>-2.2004999715941369E-2</v>
      </c>
      <c r="R12" s="84"/>
      <c r="S12" s="64"/>
      <c r="T12" s="4"/>
      <c r="U12" s="4"/>
      <c r="V12" s="4"/>
      <c r="W12" s="88" t="s">
        <v>42</v>
      </c>
      <c r="X12" s="155">
        <f>SUM(X9:X10)</f>
        <v>25</v>
      </c>
      <c r="Y12" s="65"/>
      <c r="Z12" s="64"/>
      <c r="AA12" s="4"/>
      <c r="AB12" s="4"/>
      <c r="AC12" s="4"/>
      <c r="AD12" s="88" t="s">
        <v>42</v>
      </c>
      <c r="AE12" s="63">
        <f>SUM(AE9:AE10)</f>
        <v>25</v>
      </c>
      <c r="AF12" s="65"/>
      <c r="AG12" s="84"/>
      <c r="AH12" s="84"/>
      <c r="AI12" s="84"/>
    </row>
    <row r="13" spans="1:35" ht="15.75" thickBot="1">
      <c r="A13" s="80">
        <v>5</v>
      </c>
      <c r="B13" s="105">
        <v>2</v>
      </c>
      <c r="C13" s="72">
        <v>100</v>
      </c>
      <c r="D13" s="169">
        <f t="shared" si="4"/>
        <v>0.02</v>
      </c>
      <c r="E13" s="173">
        <f t="shared" si="0"/>
        <v>1.4668333238647123E-2</v>
      </c>
      <c r="F13" s="164">
        <f t="shared" si="5"/>
        <v>0.02</v>
      </c>
      <c r="G13" s="165">
        <f t="shared" si="1"/>
        <v>2.2000000000000002E-2</v>
      </c>
      <c r="H13" s="166">
        <f t="shared" si="2"/>
        <v>6.600499971594137E-2</v>
      </c>
      <c r="I13" s="166">
        <f t="shared" si="6"/>
        <v>0</v>
      </c>
      <c r="J13" s="34">
        <f t="shared" si="3"/>
        <v>-2.2004999715941369E-2</v>
      </c>
      <c r="L13" s="120">
        <f t="shared" si="7"/>
        <v>1.4668333238647123E-2</v>
      </c>
      <c r="M13" s="119">
        <f t="shared" si="8"/>
        <v>0.02</v>
      </c>
      <c r="N13" s="167">
        <f t="shared" si="9"/>
        <v>2.2000000000000002E-2</v>
      </c>
      <c r="O13" s="119">
        <f t="shared" si="10"/>
        <v>6.600499971594137E-2</v>
      </c>
      <c r="P13" s="119">
        <f t="shared" si="11"/>
        <v>0</v>
      </c>
      <c r="Q13" s="113">
        <f t="shared" si="12"/>
        <v>-2.2004999715941369E-2</v>
      </c>
      <c r="R13" s="84"/>
      <c r="S13" s="64"/>
      <c r="T13" s="4"/>
      <c r="U13" s="4"/>
      <c r="V13" s="4"/>
      <c r="W13" s="4"/>
      <c r="X13" s="4"/>
      <c r="Y13" s="65"/>
      <c r="Z13" s="64"/>
      <c r="AA13" s="4"/>
      <c r="AB13" s="4"/>
      <c r="AC13" s="4"/>
      <c r="AD13" s="4"/>
      <c r="AE13" s="4"/>
      <c r="AF13" s="65"/>
      <c r="AG13" s="84"/>
      <c r="AH13" s="84"/>
      <c r="AI13" s="84"/>
    </row>
    <row r="14" spans="1:35" ht="15.75" thickBot="1">
      <c r="A14" s="80">
        <v>6</v>
      </c>
      <c r="B14" s="105">
        <v>5</v>
      </c>
      <c r="C14" s="72">
        <v>100</v>
      </c>
      <c r="D14" s="169">
        <f t="shared" si="4"/>
        <v>0.05</v>
      </c>
      <c r="E14" s="173">
        <f t="shared" si="0"/>
        <v>1.4668333238647123E-2</v>
      </c>
      <c r="F14" s="164">
        <f>D14</f>
        <v>0.05</v>
      </c>
      <c r="G14" s="165">
        <f t="shared" si="1"/>
        <v>2.2000000000000002E-2</v>
      </c>
      <c r="H14" s="166">
        <f t="shared" si="2"/>
        <v>6.600499971594137E-2</v>
      </c>
      <c r="I14" s="166">
        <f t="shared" si="6"/>
        <v>0</v>
      </c>
      <c r="J14" s="34">
        <f t="shared" si="3"/>
        <v>-2.2004999715941369E-2</v>
      </c>
      <c r="L14" s="120">
        <f t="shared" si="7"/>
        <v>1.4668333238647123E-2</v>
      </c>
      <c r="M14" s="119">
        <f t="shared" si="8"/>
        <v>0.05</v>
      </c>
      <c r="N14" s="167">
        <f t="shared" si="9"/>
        <v>2.2000000000000002E-2</v>
      </c>
      <c r="O14" s="119">
        <f t="shared" si="10"/>
        <v>6.600499971594137E-2</v>
      </c>
      <c r="P14" s="119">
        <f t="shared" si="11"/>
        <v>0</v>
      </c>
      <c r="Q14" s="113">
        <f t="shared" si="12"/>
        <v>-2.2004999715941369E-2</v>
      </c>
      <c r="R14" s="84"/>
      <c r="S14" s="64"/>
      <c r="T14" s="4"/>
      <c r="U14" s="4"/>
      <c r="V14" s="4"/>
      <c r="W14" s="4"/>
      <c r="X14" s="4"/>
      <c r="Y14" s="65"/>
      <c r="Z14" s="64"/>
      <c r="AA14" s="4"/>
      <c r="AB14" s="4"/>
      <c r="AC14" s="4"/>
      <c r="AD14" s="4"/>
      <c r="AE14" s="4"/>
      <c r="AF14" s="65"/>
      <c r="AG14" s="84"/>
      <c r="AH14" s="84"/>
      <c r="AI14" s="84"/>
    </row>
    <row r="15" spans="1:35" ht="15.75" thickBot="1">
      <c r="A15" s="80">
        <v>7</v>
      </c>
      <c r="B15" s="105">
        <v>3</v>
      </c>
      <c r="C15" s="72">
        <v>100</v>
      </c>
      <c r="D15" s="169">
        <f t="shared" si="4"/>
        <v>0.03</v>
      </c>
      <c r="E15" s="173">
        <f t="shared" si="0"/>
        <v>1.4668333238647123E-2</v>
      </c>
      <c r="F15" s="164">
        <f t="shared" si="5"/>
        <v>0.03</v>
      </c>
      <c r="G15" s="165">
        <f t="shared" si="1"/>
        <v>2.2000000000000002E-2</v>
      </c>
      <c r="H15" s="166">
        <f t="shared" si="2"/>
        <v>6.600499971594137E-2</v>
      </c>
      <c r="I15" s="166">
        <f t="shared" si="6"/>
        <v>0</v>
      </c>
      <c r="J15" s="34">
        <f t="shared" si="3"/>
        <v>-2.2004999715941369E-2</v>
      </c>
      <c r="L15" s="120">
        <f t="shared" si="7"/>
        <v>1.4668333238647123E-2</v>
      </c>
      <c r="M15" s="119">
        <f t="shared" si="8"/>
        <v>0.03</v>
      </c>
      <c r="N15" s="167">
        <f t="shared" si="9"/>
        <v>2.2000000000000002E-2</v>
      </c>
      <c r="O15" s="119">
        <f t="shared" si="10"/>
        <v>6.600499971594137E-2</v>
      </c>
      <c r="P15" s="119">
        <f t="shared" si="11"/>
        <v>0</v>
      </c>
      <c r="Q15" s="113">
        <f t="shared" si="12"/>
        <v>-2.2004999715941369E-2</v>
      </c>
      <c r="R15" s="84"/>
      <c r="S15" s="64"/>
      <c r="T15" s="4"/>
      <c r="U15" s="4"/>
      <c r="V15" s="4"/>
      <c r="W15" s="4"/>
      <c r="X15" s="4"/>
      <c r="Y15" s="65"/>
      <c r="Z15" s="64"/>
      <c r="AA15" s="4"/>
      <c r="AB15" s="4"/>
      <c r="AC15" s="4"/>
      <c r="AD15" s="4"/>
      <c r="AE15" s="4"/>
      <c r="AF15" s="65"/>
      <c r="AG15" s="84"/>
      <c r="AH15" s="84"/>
      <c r="AI15" s="84"/>
    </row>
    <row r="16" spans="1:35" ht="15.75" thickBot="1">
      <c r="A16" s="80">
        <v>8</v>
      </c>
      <c r="B16" s="105">
        <v>6</v>
      </c>
      <c r="C16" s="72">
        <v>100</v>
      </c>
      <c r="D16" s="169">
        <f t="shared" si="4"/>
        <v>0.06</v>
      </c>
      <c r="E16" s="173">
        <f t="shared" si="0"/>
        <v>1.4668333238647123E-2</v>
      </c>
      <c r="F16" s="164">
        <f t="shared" si="5"/>
        <v>0.06</v>
      </c>
      <c r="G16" s="165">
        <f t="shared" si="1"/>
        <v>2.2000000000000002E-2</v>
      </c>
      <c r="H16" s="166">
        <f t="shared" si="2"/>
        <v>6.600499971594137E-2</v>
      </c>
      <c r="I16" s="166">
        <f t="shared" si="6"/>
        <v>0</v>
      </c>
      <c r="J16" s="34">
        <f t="shared" si="3"/>
        <v>-2.2004999715941369E-2</v>
      </c>
      <c r="L16" s="120">
        <f t="shared" si="7"/>
        <v>1.4668333238647123E-2</v>
      </c>
      <c r="M16" s="119">
        <f t="shared" si="8"/>
        <v>0.06</v>
      </c>
      <c r="N16" s="167">
        <f t="shared" si="9"/>
        <v>2.2000000000000002E-2</v>
      </c>
      <c r="O16" s="119">
        <f t="shared" si="10"/>
        <v>6.600499971594137E-2</v>
      </c>
      <c r="P16" s="119">
        <f t="shared" si="11"/>
        <v>0</v>
      </c>
      <c r="Q16" s="113">
        <f t="shared" si="12"/>
        <v>-2.2004999715941369E-2</v>
      </c>
      <c r="R16" s="84"/>
      <c r="S16" s="64"/>
      <c r="T16" s="4"/>
      <c r="U16" s="4"/>
      <c r="V16" s="4"/>
      <c r="W16" s="4"/>
      <c r="X16" s="4"/>
      <c r="Y16" s="65"/>
      <c r="Z16" s="64"/>
      <c r="AA16" s="4"/>
      <c r="AB16" s="4"/>
      <c r="AC16" s="4"/>
      <c r="AD16" s="4"/>
      <c r="AE16" s="4"/>
      <c r="AF16" s="65"/>
      <c r="AG16" s="84"/>
      <c r="AH16" s="84"/>
      <c r="AI16" s="84"/>
    </row>
    <row r="17" spans="1:35" ht="15.75" thickBot="1">
      <c r="A17" s="80">
        <v>9</v>
      </c>
      <c r="B17" s="105">
        <v>1</v>
      </c>
      <c r="C17" s="72">
        <v>100</v>
      </c>
      <c r="D17" s="169">
        <f t="shared" si="4"/>
        <v>0.01</v>
      </c>
      <c r="E17" s="173">
        <f t="shared" si="0"/>
        <v>1.4668333238647123E-2</v>
      </c>
      <c r="F17" s="164">
        <f t="shared" si="5"/>
        <v>0.01</v>
      </c>
      <c r="G17" s="165">
        <f t="shared" si="1"/>
        <v>2.2000000000000002E-2</v>
      </c>
      <c r="H17" s="166">
        <f t="shared" si="2"/>
        <v>6.600499971594137E-2</v>
      </c>
      <c r="I17" s="166">
        <f t="shared" si="6"/>
        <v>0</v>
      </c>
      <c r="J17" s="34">
        <f t="shared" si="3"/>
        <v>-2.2004999715941369E-2</v>
      </c>
      <c r="L17" s="120">
        <f t="shared" si="7"/>
        <v>1.4668333238647123E-2</v>
      </c>
      <c r="M17" s="119">
        <f t="shared" si="8"/>
        <v>0.01</v>
      </c>
      <c r="N17" s="167">
        <f t="shared" si="9"/>
        <v>2.2000000000000002E-2</v>
      </c>
      <c r="O17" s="119">
        <f t="shared" si="10"/>
        <v>6.600499971594137E-2</v>
      </c>
      <c r="P17" s="119">
        <f t="shared" si="11"/>
        <v>0</v>
      </c>
      <c r="Q17" s="113">
        <f t="shared" si="12"/>
        <v>-2.2004999715941369E-2</v>
      </c>
      <c r="R17" s="84"/>
      <c r="S17" s="64"/>
      <c r="T17" s="4"/>
      <c r="U17" s="4"/>
      <c r="V17" s="4"/>
      <c r="W17" s="4"/>
      <c r="X17" s="4"/>
      <c r="Y17" s="65"/>
      <c r="Z17" s="64"/>
      <c r="AA17" s="4"/>
      <c r="AB17" s="4"/>
      <c r="AC17" s="4"/>
      <c r="AD17" s="4"/>
      <c r="AE17" s="4"/>
      <c r="AF17" s="65"/>
      <c r="AG17" s="84"/>
      <c r="AH17" s="84"/>
      <c r="AI17" s="84"/>
    </row>
    <row r="18" spans="1:35" ht="15.75" thickBot="1">
      <c r="A18" s="80">
        <v>10</v>
      </c>
      <c r="B18" s="105">
        <v>4</v>
      </c>
      <c r="C18" s="72">
        <v>100</v>
      </c>
      <c r="D18" s="169">
        <f t="shared" si="4"/>
        <v>0.04</v>
      </c>
      <c r="E18" s="173">
        <f t="shared" si="0"/>
        <v>1.4668333238647123E-2</v>
      </c>
      <c r="F18" s="164">
        <f t="shared" si="5"/>
        <v>0.04</v>
      </c>
      <c r="G18" s="165">
        <f t="shared" si="1"/>
        <v>2.2000000000000002E-2</v>
      </c>
      <c r="H18" s="166">
        <f t="shared" si="2"/>
        <v>6.600499971594137E-2</v>
      </c>
      <c r="I18" s="166">
        <f t="shared" si="6"/>
        <v>0</v>
      </c>
      <c r="J18" s="34">
        <f t="shared" si="3"/>
        <v>-2.2004999715941369E-2</v>
      </c>
      <c r="L18" s="120">
        <f t="shared" si="7"/>
        <v>1.4668333238647123E-2</v>
      </c>
      <c r="M18" s="119">
        <f t="shared" si="8"/>
        <v>0.04</v>
      </c>
      <c r="N18" s="167">
        <f t="shared" si="9"/>
        <v>2.2000000000000002E-2</v>
      </c>
      <c r="O18" s="119">
        <f t="shared" si="10"/>
        <v>6.600499971594137E-2</v>
      </c>
      <c r="P18" s="119">
        <f t="shared" si="11"/>
        <v>0</v>
      </c>
      <c r="Q18" s="113">
        <f t="shared" si="12"/>
        <v>-2.2004999715941369E-2</v>
      </c>
      <c r="R18" s="84"/>
      <c r="S18" s="64"/>
      <c r="T18" s="4"/>
      <c r="U18" s="4"/>
      <c r="V18" s="4"/>
      <c r="W18" s="4"/>
      <c r="X18" s="4"/>
      <c r="Y18" s="65"/>
      <c r="Z18" s="64"/>
      <c r="AA18" s="4"/>
      <c r="AB18" s="4"/>
      <c r="AC18" s="4"/>
      <c r="AD18" s="4"/>
      <c r="AE18" s="4"/>
      <c r="AF18" s="65"/>
      <c r="AG18" s="84"/>
      <c r="AH18" s="84"/>
      <c r="AI18" s="84"/>
    </row>
    <row r="19" spans="1:35" ht="15.75" thickBot="1">
      <c r="A19" s="80">
        <v>11</v>
      </c>
      <c r="B19" s="2">
        <v>0</v>
      </c>
      <c r="C19" s="72">
        <v>100</v>
      </c>
      <c r="D19" s="169">
        <f t="shared" si="4"/>
        <v>0</v>
      </c>
      <c r="E19" s="173">
        <f t="shared" si="0"/>
        <v>1.4668333238647123E-2</v>
      </c>
      <c r="F19" s="164">
        <f t="shared" si="5"/>
        <v>0</v>
      </c>
      <c r="G19" s="165">
        <f t="shared" si="1"/>
        <v>2.2000000000000002E-2</v>
      </c>
      <c r="H19" s="166">
        <f t="shared" si="2"/>
        <v>6.600499971594137E-2</v>
      </c>
      <c r="I19" s="166">
        <f t="shared" si="6"/>
        <v>0</v>
      </c>
      <c r="J19" s="34">
        <f t="shared" si="3"/>
        <v>-2.2004999715941369E-2</v>
      </c>
      <c r="L19" s="120">
        <f t="shared" si="7"/>
        <v>1.4668333238647123E-2</v>
      </c>
      <c r="M19" s="119">
        <f t="shared" si="8"/>
        <v>0</v>
      </c>
      <c r="N19" s="167">
        <f t="shared" si="9"/>
        <v>2.2000000000000002E-2</v>
      </c>
      <c r="O19" s="119">
        <f t="shared" si="10"/>
        <v>6.600499971594137E-2</v>
      </c>
      <c r="P19" s="119">
        <f t="shared" si="11"/>
        <v>0</v>
      </c>
      <c r="Q19" s="113">
        <f t="shared" si="12"/>
        <v>-2.2004999715941369E-2</v>
      </c>
      <c r="R19" s="84"/>
      <c r="S19" s="64"/>
      <c r="T19" s="4"/>
      <c r="U19" s="4"/>
      <c r="V19" s="4"/>
      <c r="W19" s="4"/>
      <c r="X19" s="4"/>
      <c r="Y19" s="65"/>
      <c r="Z19" s="64"/>
      <c r="AA19" s="4"/>
      <c r="AB19" s="4"/>
      <c r="AC19" s="4"/>
      <c r="AD19" s="4"/>
      <c r="AE19" s="4"/>
      <c r="AF19" s="65"/>
      <c r="AG19" s="84"/>
      <c r="AH19" s="84"/>
      <c r="AI19" s="84"/>
    </row>
    <row r="20" spans="1:35" ht="15.75" thickBot="1">
      <c r="A20" s="80">
        <v>12</v>
      </c>
      <c r="B20" s="106">
        <v>2</v>
      </c>
      <c r="C20" s="72">
        <v>100</v>
      </c>
      <c r="D20" s="169">
        <f t="shared" si="4"/>
        <v>0.02</v>
      </c>
      <c r="E20" s="173">
        <f t="shared" si="0"/>
        <v>1.4668333238647123E-2</v>
      </c>
      <c r="F20" s="164">
        <f t="shared" si="5"/>
        <v>0.02</v>
      </c>
      <c r="G20" s="165">
        <f t="shared" si="1"/>
        <v>2.2000000000000002E-2</v>
      </c>
      <c r="H20" s="166">
        <f t="shared" si="2"/>
        <v>6.600499971594137E-2</v>
      </c>
      <c r="I20" s="166">
        <f t="shared" si="6"/>
        <v>0</v>
      </c>
      <c r="J20" s="34">
        <f t="shared" si="3"/>
        <v>-2.2004999715941369E-2</v>
      </c>
      <c r="L20" s="120">
        <f t="shared" si="7"/>
        <v>1.4668333238647123E-2</v>
      </c>
      <c r="M20" s="119">
        <f t="shared" si="8"/>
        <v>0.02</v>
      </c>
      <c r="N20" s="167">
        <f t="shared" si="9"/>
        <v>2.2000000000000002E-2</v>
      </c>
      <c r="O20" s="119">
        <f t="shared" si="10"/>
        <v>6.600499971594137E-2</v>
      </c>
      <c r="P20" s="119">
        <f t="shared" si="11"/>
        <v>0</v>
      </c>
      <c r="Q20" s="113">
        <f t="shared" si="12"/>
        <v>-2.2004999715941369E-2</v>
      </c>
      <c r="R20" s="84"/>
      <c r="S20" s="64"/>
      <c r="T20" s="4"/>
      <c r="U20" s="4"/>
      <c r="V20" s="4"/>
      <c r="W20" s="4"/>
      <c r="X20" s="4"/>
      <c r="Y20" s="65"/>
      <c r="Z20" s="64"/>
      <c r="AA20" s="4"/>
      <c r="AB20" s="4"/>
      <c r="AC20" s="4"/>
      <c r="AD20" s="4"/>
      <c r="AE20" s="4"/>
      <c r="AF20" s="65"/>
      <c r="AG20" s="84"/>
      <c r="AH20" s="84"/>
      <c r="AI20" s="84"/>
    </row>
    <row r="21" spans="1:35" ht="15.75" thickBot="1">
      <c r="A21" s="80">
        <v>13</v>
      </c>
      <c r="B21" s="106">
        <v>1</v>
      </c>
      <c r="C21" s="72">
        <v>100</v>
      </c>
      <c r="D21" s="169">
        <f t="shared" si="4"/>
        <v>0.01</v>
      </c>
      <c r="E21" s="173">
        <f t="shared" si="0"/>
        <v>1.4668333238647123E-2</v>
      </c>
      <c r="F21" s="164">
        <f t="shared" si="5"/>
        <v>0.01</v>
      </c>
      <c r="G21" s="165">
        <f t="shared" si="1"/>
        <v>2.2000000000000002E-2</v>
      </c>
      <c r="H21" s="166">
        <f t="shared" si="2"/>
        <v>6.600499971594137E-2</v>
      </c>
      <c r="I21" s="166">
        <f t="shared" si="6"/>
        <v>0</v>
      </c>
      <c r="J21" s="34">
        <f t="shared" si="3"/>
        <v>-2.2004999715941369E-2</v>
      </c>
      <c r="L21" s="120">
        <f t="shared" si="7"/>
        <v>1.4668333238647123E-2</v>
      </c>
      <c r="M21" s="119">
        <f t="shared" si="8"/>
        <v>0.01</v>
      </c>
      <c r="N21" s="167">
        <f t="shared" si="9"/>
        <v>2.2000000000000002E-2</v>
      </c>
      <c r="O21" s="119">
        <f t="shared" si="10"/>
        <v>6.600499971594137E-2</v>
      </c>
      <c r="P21" s="119">
        <f t="shared" si="11"/>
        <v>0</v>
      </c>
      <c r="Q21" s="113">
        <f t="shared" si="12"/>
        <v>-2.2004999715941369E-2</v>
      </c>
      <c r="R21" s="84"/>
      <c r="S21" s="64"/>
      <c r="T21" s="4"/>
      <c r="U21" s="4"/>
      <c r="V21" s="4"/>
      <c r="W21" s="4"/>
      <c r="X21" s="4"/>
      <c r="Y21" s="65"/>
      <c r="Z21" s="64"/>
      <c r="AA21" s="4"/>
      <c r="AB21" s="4"/>
      <c r="AC21" s="4"/>
      <c r="AD21" s="4"/>
      <c r="AE21" s="4"/>
      <c r="AF21" s="65"/>
      <c r="AG21" s="84"/>
      <c r="AH21" s="84"/>
      <c r="AI21" s="84"/>
    </row>
    <row r="22" spans="1:35" ht="15.75" thickBot="1">
      <c r="A22" s="80">
        <v>14</v>
      </c>
      <c r="B22" s="106">
        <v>3</v>
      </c>
      <c r="C22" s="72">
        <v>100</v>
      </c>
      <c r="D22" s="169">
        <f t="shared" si="4"/>
        <v>0.03</v>
      </c>
      <c r="E22" s="173">
        <f t="shared" si="0"/>
        <v>1.4668333238647123E-2</v>
      </c>
      <c r="F22" s="164">
        <f t="shared" si="5"/>
        <v>0.03</v>
      </c>
      <c r="G22" s="165">
        <f t="shared" si="1"/>
        <v>2.2000000000000002E-2</v>
      </c>
      <c r="H22" s="166">
        <f t="shared" si="2"/>
        <v>6.600499971594137E-2</v>
      </c>
      <c r="I22" s="166">
        <f t="shared" si="6"/>
        <v>0</v>
      </c>
      <c r="J22" s="34">
        <f t="shared" si="3"/>
        <v>-2.2004999715941369E-2</v>
      </c>
      <c r="L22" s="120">
        <f t="shared" si="7"/>
        <v>1.4668333238647123E-2</v>
      </c>
      <c r="M22" s="119">
        <f t="shared" si="8"/>
        <v>0.03</v>
      </c>
      <c r="N22" s="167">
        <f t="shared" si="9"/>
        <v>2.2000000000000002E-2</v>
      </c>
      <c r="O22" s="119">
        <f t="shared" si="10"/>
        <v>6.600499971594137E-2</v>
      </c>
      <c r="P22" s="119">
        <f t="shared" si="11"/>
        <v>0</v>
      </c>
      <c r="Q22" s="113">
        <f t="shared" si="12"/>
        <v>-2.2004999715941369E-2</v>
      </c>
      <c r="R22" s="84"/>
      <c r="S22" s="64"/>
      <c r="T22" s="4"/>
      <c r="U22" s="4"/>
      <c r="V22" s="4"/>
      <c r="W22" s="4"/>
      <c r="X22" s="4"/>
      <c r="Y22" s="65"/>
      <c r="Z22" s="64"/>
      <c r="AA22" s="4"/>
      <c r="AB22" s="4"/>
      <c r="AC22" s="4"/>
      <c r="AD22" s="4"/>
      <c r="AE22" s="4"/>
      <c r="AF22" s="65"/>
      <c r="AG22" s="84"/>
      <c r="AH22" s="84"/>
      <c r="AI22" s="84"/>
    </row>
    <row r="23" spans="1:35" ht="15.75" thickBot="1">
      <c r="A23" s="80">
        <v>15</v>
      </c>
      <c r="B23" s="106">
        <v>4</v>
      </c>
      <c r="C23" s="72">
        <v>100</v>
      </c>
      <c r="D23" s="169">
        <f t="shared" si="4"/>
        <v>0.04</v>
      </c>
      <c r="E23" s="173">
        <f t="shared" si="0"/>
        <v>1.4668333238647123E-2</v>
      </c>
      <c r="F23" s="164">
        <f t="shared" si="5"/>
        <v>0.04</v>
      </c>
      <c r="G23" s="165">
        <f t="shared" si="1"/>
        <v>2.2000000000000002E-2</v>
      </c>
      <c r="H23" s="166">
        <f t="shared" si="2"/>
        <v>6.600499971594137E-2</v>
      </c>
      <c r="I23" s="166">
        <f t="shared" si="6"/>
        <v>0</v>
      </c>
      <c r="J23" s="34">
        <f t="shared" si="3"/>
        <v>-2.2004999715941369E-2</v>
      </c>
      <c r="L23" s="120">
        <f t="shared" si="7"/>
        <v>1.4668333238647123E-2</v>
      </c>
      <c r="M23" s="119">
        <f t="shared" si="8"/>
        <v>0.04</v>
      </c>
      <c r="N23" s="167">
        <f t="shared" si="9"/>
        <v>2.2000000000000002E-2</v>
      </c>
      <c r="O23" s="119">
        <f t="shared" si="10"/>
        <v>6.600499971594137E-2</v>
      </c>
      <c r="P23" s="119">
        <f t="shared" si="11"/>
        <v>0</v>
      </c>
      <c r="Q23" s="113">
        <f t="shared" si="12"/>
        <v>-2.2004999715941369E-2</v>
      </c>
      <c r="R23" s="84"/>
      <c r="S23" s="64"/>
      <c r="T23" s="4"/>
      <c r="U23" s="4"/>
      <c r="V23" s="4"/>
      <c r="W23" s="4"/>
      <c r="X23" s="4"/>
      <c r="Y23" s="65"/>
      <c r="Z23" s="64"/>
      <c r="AA23" s="4"/>
      <c r="AB23" s="4"/>
      <c r="AC23" s="4"/>
      <c r="AD23" s="4"/>
      <c r="AE23" s="4"/>
      <c r="AF23" s="65"/>
      <c r="AG23" s="84"/>
      <c r="AH23" s="84"/>
      <c r="AI23" s="84"/>
    </row>
    <row r="24" spans="1:35" ht="15.75" thickBot="1">
      <c r="A24" s="80">
        <v>16</v>
      </c>
      <c r="B24" s="106">
        <v>1</v>
      </c>
      <c r="C24" s="72">
        <v>100</v>
      </c>
      <c r="D24" s="169">
        <f t="shared" si="4"/>
        <v>0.01</v>
      </c>
      <c r="E24" s="173">
        <f t="shared" si="0"/>
        <v>1.4668333238647123E-2</v>
      </c>
      <c r="F24" s="164">
        <f t="shared" si="5"/>
        <v>0.01</v>
      </c>
      <c r="G24" s="165">
        <f t="shared" si="1"/>
        <v>2.2000000000000002E-2</v>
      </c>
      <c r="H24" s="166">
        <f t="shared" si="2"/>
        <v>6.600499971594137E-2</v>
      </c>
      <c r="I24" s="166">
        <f t="shared" si="6"/>
        <v>0</v>
      </c>
      <c r="J24" s="34">
        <f t="shared" si="3"/>
        <v>-2.2004999715941369E-2</v>
      </c>
      <c r="L24" s="120">
        <f t="shared" si="7"/>
        <v>1.4668333238647123E-2</v>
      </c>
      <c r="M24" s="119">
        <f t="shared" si="8"/>
        <v>0.01</v>
      </c>
      <c r="N24" s="167">
        <f t="shared" si="9"/>
        <v>2.2000000000000002E-2</v>
      </c>
      <c r="O24" s="119">
        <f t="shared" si="10"/>
        <v>6.600499971594137E-2</v>
      </c>
      <c r="P24" s="119">
        <f t="shared" si="11"/>
        <v>0</v>
      </c>
      <c r="Q24" s="113">
        <f t="shared" si="12"/>
        <v>-2.2004999715941369E-2</v>
      </c>
      <c r="R24" s="84"/>
      <c r="S24" s="64"/>
      <c r="T24" s="4"/>
      <c r="U24" s="4"/>
      <c r="V24" s="4"/>
      <c r="W24" s="4"/>
      <c r="X24" s="4"/>
      <c r="Y24" s="65"/>
      <c r="Z24" s="64"/>
      <c r="AA24" s="4"/>
      <c r="AB24" s="4"/>
      <c r="AC24" s="4"/>
      <c r="AD24" s="4"/>
      <c r="AE24" s="4"/>
      <c r="AF24" s="65"/>
      <c r="AG24" s="84"/>
      <c r="AH24" s="84"/>
      <c r="AI24" s="84"/>
    </row>
    <row r="25" spans="1:35" ht="15.75" thickBot="1">
      <c r="A25" s="80">
        <v>17</v>
      </c>
      <c r="B25" s="106">
        <v>1</v>
      </c>
      <c r="C25" s="72">
        <v>100</v>
      </c>
      <c r="D25" s="169">
        <f t="shared" si="4"/>
        <v>0.01</v>
      </c>
      <c r="E25" s="173">
        <f t="shared" si="0"/>
        <v>1.4668333238647123E-2</v>
      </c>
      <c r="F25" s="164">
        <f t="shared" si="5"/>
        <v>0.01</v>
      </c>
      <c r="G25" s="165">
        <f t="shared" si="1"/>
        <v>2.2000000000000002E-2</v>
      </c>
      <c r="H25" s="166">
        <f t="shared" si="2"/>
        <v>6.600499971594137E-2</v>
      </c>
      <c r="I25" s="166">
        <f t="shared" si="6"/>
        <v>0</v>
      </c>
      <c r="J25" s="34">
        <f t="shared" si="3"/>
        <v>-2.2004999715941369E-2</v>
      </c>
      <c r="L25" s="120">
        <f t="shared" si="7"/>
        <v>1.4668333238647123E-2</v>
      </c>
      <c r="M25" s="119">
        <f t="shared" si="8"/>
        <v>0.01</v>
      </c>
      <c r="N25" s="167">
        <f t="shared" si="9"/>
        <v>2.2000000000000002E-2</v>
      </c>
      <c r="O25" s="119">
        <f t="shared" si="10"/>
        <v>6.600499971594137E-2</v>
      </c>
      <c r="P25" s="119">
        <f t="shared" si="11"/>
        <v>0</v>
      </c>
      <c r="Q25" s="113">
        <f t="shared" si="12"/>
        <v>-2.2004999715941369E-2</v>
      </c>
      <c r="R25" s="84"/>
      <c r="S25" s="64"/>
      <c r="T25" s="4"/>
      <c r="U25" s="4"/>
      <c r="V25" s="4"/>
      <c r="W25" s="4"/>
      <c r="X25" s="4"/>
      <c r="Y25" s="65"/>
      <c r="Z25" s="64"/>
      <c r="AA25" s="4"/>
      <c r="AB25" s="4"/>
      <c r="AC25" s="4"/>
      <c r="AD25" s="4"/>
      <c r="AE25" s="4"/>
      <c r="AF25" s="65"/>
      <c r="AG25" s="84"/>
      <c r="AH25" s="84"/>
      <c r="AI25" s="84"/>
    </row>
    <row r="26" spans="1:35" ht="15.75" thickBot="1">
      <c r="A26" s="80">
        <v>18</v>
      </c>
      <c r="B26" s="106">
        <v>2</v>
      </c>
      <c r="C26" s="72">
        <v>100</v>
      </c>
      <c r="D26" s="169">
        <f t="shared" si="4"/>
        <v>0.02</v>
      </c>
      <c r="E26" s="173">
        <f t="shared" si="0"/>
        <v>1.4668333238647123E-2</v>
      </c>
      <c r="F26" s="164">
        <f t="shared" si="5"/>
        <v>0.02</v>
      </c>
      <c r="G26" s="165">
        <f t="shared" si="1"/>
        <v>2.2000000000000002E-2</v>
      </c>
      <c r="H26" s="166">
        <f t="shared" si="2"/>
        <v>6.600499971594137E-2</v>
      </c>
      <c r="I26" s="166">
        <f t="shared" si="6"/>
        <v>0</v>
      </c>
      <c r="J26" s="34">
        <f t="shared" si="3"/>
        <v>-2.2004999715941369E-2</v>
      </c>
      <c r="L26" s="120">
        <f t="shared" si="7"/>
        <v>1.4668333238647123E-2</v>
      </c>
      <c r="M26" s="119">
        <f t="shared" si="8"/>
        <v>0.02</v>
      </c>
      <c r="N26" s="167">
        <f t="shared" si="9"/>
        <v>2.2000000000000002E-2</v>
      </c>
      <c r="O26" s="119">
        <f t="shared" si="10"/>
        <v>6.600499971594137E-2</v>
      </c>
      <c r="P26" s="119">
        <f t="shared" si="11"/>
        <v>0</v>
      </c>
      <c r="Q26" s="113">
        <f t="shared" si="12"/>
        <v>-2.2004999715941369E-2</v>
      </c>
      <c r="R26" s="84"/>
      <c r="S26" s="64"/>
      <c r="T26" s="4"/>
      <c r="U26" s="4"/>
      <c r="V26" s="4"/>
      <c r="W26" s="4"/>
      <c r="X26" s="4"/>
      <c r="Y26" s="65"/>
      <c r="Z26" s="64"/>
      <c r="AA26" s="4"/>
      <c r="AB26" s="4"/>
      <c r="AC26" s="4"/>
      <c r="AD26" s="4"/>
      <c r="AE26" s="4"/>
      <c r="AF26" s="65"/>
      <c r="AG26" s="84"/>
      <c r="AH26" s="84"/>
      <c r="AI26" s="84"/>
    </row>
    <row r="27" spans="1:35" ht="15.75" thickBot="1">
      <c r="A27" s="80">
        <v>19</v>
      </c>
      <c r="B27" s="106">
        <v>5</v>
      </c>
      <c r="C27" s="72">
        <v>100</v>
      </c>
      <c r="D27" s="169">
        <f t="shared" si="4"/>
        <v>0.05</v>
      </c>
      <c r="E27" s="173">
        <f t="shared" si="0"/>
        <v>1.4668333238647123E-2</v>
      </c>
      <c r="F27" s="164">
        <f t="shared" si="5"/>
        <v>0.05</v>
      </c>
      <c r="G27" s="165">
        <f t="shared" si="1"/>
        <v>2.2000000000000002E-2</v>
      </c>
      <c r="H27" s="166">
        <f t="shared" si="2"/>
        <v>6.600499971594137E-2</v>
      </c>
      <c r="I27" s="166">
        <f t="shared" si="6"/>
        <v>0</v>
      </c>
      <c r="J27" s="34">
        <f t="shared" si="3"/>
        <v>-2.2004999715941369E-2</v>
      </c>
      <c r="L27" s="120">
        <f t="shared" si="7"/>
        <v>1.4668333238647123E-2</v>
      </c>
      <c r="M27" s="119">
        <f t="shared" si="8"/>
        <v>0.05</v>
      </c>
      <c r="N27" s="167">
        <f t="shared" si="9"/>
        <v>2.2000000000000002E-2</v>
      </c>
      <c r="O27" s="119">
        <f t="shared" si="10"/>
        <v>6.600499971594137E-2</v>
      </c>
      <c r="P27" s="119">
        <f t="shared" si="11"/>
        <v>0</v>
      </c>
      <c r="Q27" s="113">
        <f t="shared" si="12"/>
        <v>-2.2004999715941369E-2</v>
      </c>
      <c r="R27" s="84"/>
      <c r="S27" s="64"/>
      <c r="T27" s="4"/>
      <c r="U27" s="4"/>
      <c r="V27" s="4"/>
      <c r="W27" s="4"/>
      <c r="X27" s="4"/>
      <c r="Y27" s="65"/>
      <c r="Z27" s="64"/>
      <c r="AA27" s="4"/>
      <c r="AB27" s="4"/>
      <c r="AC27" s="4"/>
      <c r="AD27" s="4"/>
      <c r="AE27" s="4"/>
      <c r="AF27" s="65"/>
      <c r="AG27" s="84"/>
      <c r="AH27" s="84"/>
      <c r="AI27" s="84"/>
    </row>
    <row r="28" spans="1:35" ht="15.75" thickBot="1">
      <c r="A28" s="80">
        <v>20</v>
      </c>
      <c r="B28" s="106">
        <v>2</v>
      </c>
      <c r="C28" s="72">
        <v>100</v>
      </c>
      <c r="D28" s="169">
        <f t="shared" si="4"/>
        <v>0.02</v>
      </c>
      <c r="E28" s="173">
        <f t="shared" si="0"/>
        <v>1.4668333238647123E-2</v>
      </c>
      <c r="F28" s="164">
        <f t="shared" si="5"/>
        <v>0.02</v>
      </c>
      <c r="G28" s="165">
        <f t="shared" si="1"/>
        <v>2.2000000000000002E-2</v>
      </c>
      <c r="H28" s="166">
        <f t="shared" si="2"/>
        <v>6.600499971594137E-2</v>
      </c>
      <c r="I28" s="166">
        <f t="shared" si="6"/>
        <v>0</v>
      </c>
      <c r="J28" s="34">
        <f t="shared" si="3"/>
        <v>-2.2004999715941369E-2</v>
      </c>
      <c r="L28" s="120">
        <f t="shared" si="7"/>
        <v>1.4668333238647123E-2</v>
      </c>
      <c r="M28" s="119">
        <f t="shared" si="8"/>
        <v>0.02</v>
      </c>
      <c r="N28" s="167">
        <f t="shared" si="9"/>
        <v>2.2000000000000002E-2</v>
      </c>
      <c r="O28" s="119">
        <f t="shared" si="10"/>
        <v>6.600499971594137E-2</v>
      </c>
      <c r="P28" s="119">
        <f t="shared" si="11"/>
        <v>0</v>
      </c>
      <c r="Q28" s="113">
        <f t="shared" si="12"/>
        <v>-2.2004999715941369E-2</v>
      </c>
      <c r="R28" s="84"/>
      <c r="S28" s="64"/>
      <c r="T28" s="4"/>
      <c r="U28" s="4"/>
      <c r="V28" s="4"/>
      <c r="W28" s="4"/>
      <c r="X28" s="4"/>
      <c r="Y28" s="65"/>
      <c r="Z28" s="64"/>
      <c r="AA28" s="4"/>
      <c r="AB28" s="4"/>
      <c r="AC28" s="4"/>
      <c r="AD28" s="4"/>
      <c r="AE28" s="4"/>
      <c r="AF28" s="65"/>
      <c r="AG28" s="84"/>
      <c r="AH28" s="84"/>
      <c r="AI28" s="84"/>
    </row>
    <row r="29" spans="1:35" ht="15.75" thickBot="1">
      <c r="A29" s="80">
        <v>21</v>
      </c>
      <c r="B29" s="106">
        <v>3</v>
      </c>
      <c r="C29" s="72">
        <v>100</v>
      </c>
      <c r="D29" s="169">
        <f t="shared" si="4"/>
        <v>0.03</v>
      </c>
      <c r="E29" s="173">
        <f t="shared" si="0"/>
        <v>1.4668333238647123E-2</v>
      </c>
      <c r="F29" s="164">
        <f t="shared" si="5"/>
        <v>0.03</v>
      </c>
      <c r="G29" s="165">
        <f t="shared" si="1"/>
        <v>2.2000000000000002E-2</v>
      </c>
      <c r="H29" s="166">
        <f t="shared" si="2"/>
        <v>6.600499971594137E-2</v>
      </c>
      <c r="I29" s="166">
        <f t="shared" si="6"/>
        <v>0</v>
      </c>
      <c r="J29" s="34">
        <f t="shared" si="3"/>
        <v>-2.2004999715941369E-2</v>
      </c>
      <c r="L29" s="120">
        <f t="shared" si="7"/>
        <v>1.4668333238647123E-2</v>
      </c>
      <c r="M29" s="119">
        <f t="shared" si="8"/>
        <v>0.03</v>
      </c>
      <c r="N29" s="167">
        <f t="shared" si="9"/>
        <v>2.2000000000000002E-2</v>
      </c>
      <c r="O29" s="119">
        <f t="shared" si="10"/>
        <v>6.600499971594137E-2</v>
      </c>
      <c r="P29" s="119">
        <f t="shared" si="11"/>
        <v>0</v>
      </c>
      <c r="Q29" s="113">
        <f t="shared" si="12"/>
        <v>-2.2004999715941369E-2</v>
      </c>
      <c r="R29" s="84"/>
      <c r="S29" s="64"/>
      <c r="T29" s="4"/>
      <c r="U29" s="4"/>
      <c r="V29" s="4"/>
      <c r="W29" s="4"/>
      <c r="X29" s="4"/>
      <c r="Y29" s="65"/>
      <c r="Z29" s="64"/>
      <c r="AA29" s="4"/>
      <c r="AB29" s="4"/>
      <c r="AC29" s="4"/>
      <c r="AD29" s="4"/>
      <c r="AE29" s="4"/>
      <c r="AF29" s="65"/>
      <c r="AG29" s="84"/>
      <c r="AH29" s="84"/>
      <c r="AI29" s="84"/>
    </row>
    <row r="30" spans="1:35" ht="15.75" thickBot="1">
      <c r="A30" s="80">
        <v>22</v>
      </c>
      <c r="B30" s="106">
        <v>4</v>
      </c>
      <c r="C30" s="72">
        <v>100</v>
      </c>
      <c r="D30" s="169">
        <f t="shared" si="4"/>
        <v>0.04</v>
      </c>
      <c r="E30" s="173">
        <f t="shared" si="0"/>
        <v>1.4668333238647123E-2</v>
      </c>
      <c r="F30" s="164">
        <f t="shared" si="5"/>
        <v>0.04</v>
      </c>
      <c r="G30" s="165">
        <f t="shared" si="1"/>
        <v>2.2000000000000002E-2</v>
      </c>
      <c r="H30" s="166">
        <f t="shared" si="2"/>
        <v>6.600499971594137E-2</v>
      </c>
      <c r="I30" s="166">
        <f t="shared" si="6"/>
        <v>0</v>
      </c>
      <c r="J30" s="34">
        <f t="shared" si="3"/>
        <v>-2.2004999715941369E-2</v>
      </c>
      <c r="L30" s="120">
        <f t="shared" si="7"/>
        <v>1.4668333238647123E-2</v>
      </c>
      <c r="M30" s="119">
        <f t="shared" si="8"/>
        <v>0.04</v>
      </c>
      <c r="N30" s="167">
        <f t="shared" si="9"/>
        <v>2.2000000000000002E-2</v>
      </c>
      <c r="O30" s="119">
        <f t="shared" si="10"/>
        <v>6.600499971594137E-2</v>
      </c>
      <c r="P30" s="119">
        <f t="shared" si="11"/>
        <v>0</v>
      </c>
      <c r="Q30" s="113">
        <f t="shared" si="12"/>
        <v>-2.2004999715941369E-2</v>
      </c>
      <c r="R30" s="84"/>
      <c r="S30" s="64"/>
      <c r="T30" s="4"/>
      <c r="U30" s="4"/>
      <c r="V30" s="4"/>
      <c r="W30" s="4"/>
      <c r="X30" s="4"/>
      <c r="Y30" s="65"/>
      <c r="Z30" s="64"/>
      <c r="AA30" s="4"/>
      <c r="AB30" s="4"/>
      <c r="AC30" s="4"/>
      <c r="AD30" s="4"/>
      <c r="AE30" s="4"/>
      <c r="AF30" s="65"/>
      <c r="AG30" s="84"/>
      <c r="AH30" s="84"/>
      <c r="AI30" s="84"/>
    </row>
    <row r="31" spans="1:35" ht="15.75" thickBot="1">
      <c r="A31" s="80">
        <v>23</v>
      </c>
      <c r="B31" s="106">
        <v>1</v>
      </c>
      <c r="C31" s="72">
        <v>100</v>
      </c>
      <c r="D31" s="169">
        <f t="shared" si="4"/>
        <v>0.01</v>
      </c>
      <c r="E31" s="173">
        <f t="shared" si="0"/>
        <v>1.4668333238647123E-2</v>
      </c>
      <c r="F31" s="164">
        <f t="shared" si="5"/>
        <v>0.01</v>
      </c>
      <c r="G31" s="165">
        <f t="shared" si="1"/>
        <v>2.2000000000000002E-2</v>
      </c>
      <c r="H31" s="166">
        <f t="shared" si="2"/>
        <v>6.600499971594137E-2</v>
      </c>
      <c r="I31" s="166">
        <f t="shared" si="6"/>
        <v>0</v>
      </c>
      <c r="J31" s="34">
        <f t="shared" si="3"/>
        <v>-2.2004999715941369E-2</v>
      </c>
      <c r="L31" s="120">
        <f t="shared" si="7"/>
        <v>1.4668333238647123E-2</v>
      </c>
      <c r="M31" s="119">
        <f t="shared" si="8"/>
        <v>0.01</v>
      </c>
      <c r="N31" s="167">
        <f t="shared" si="9"/>
        <v>2.2000000000000002E-2</v>
      </c>
      <c r="O31" s="119">
        <f t="shared" si="10"/>
        <v>6.600499971594137E-2</v>
      </c>
      <c r="P31" s="119">
        <f t="shared" si="11"/>
        <v>0</v>
      </c>
      <c r="Q31" s="113">
        <f t="shared" si="12"/>
        <v>-2.2004999715941369E-2</v>
      </c>
      <c r="R31" s="84"/>
      <c r="S31" s="64"/>
      <c r="T31" s="4"/>
      <c r="U31" s="4"/>
      <c r="V31" s="4"/>
      <c r="W31" s="4"/>
      <c r="X31" s="4"/>
      <c r="Y31" s="65"/>
      <c r="Z31" s="64"/>
      <c r="AA31" s="4"/>
      <c r="AB31" s="4"/>
      <c r="AC31" s="4"/>
      <c r="AD31" s="4"/>
      <c r="AE31" s="4"/>
      <c r="AF31" s="65"/>
      <c r="AG31" s="84"/>
      <c r="AH31" s="84"/>
      <c r="AI31" s="84"/>
    </row>
    <row r="32" spans="1:35" ht="15.75" thickBot="1">
      <c r="A32" s="80">
        <v>24</v>
      </c>
      <c r="B32" s="106">
        <v>0</v>
      </c>
      <c r="C32" s="72">
        <v>100</v>
      </c>
      <c r="D32" s="169">
        <f t="shared" si="4"/>
        <v>0</v>
      </c>
      <c r="E32" s="173">
        <f t="shared" si="0"/>
        <v>1.4668333238647123E-2</v>
      </c>
      <c r="F32" s="164">
        <f t="shared" si="5"/>
        <v>0</v>
      </c>
      <c r="G32" s="165">
        <f t="shared" si="1"/>
        <v>2.2000000000000002E-2</v>
      </c>
      <c r="H32" s="166">
        <f t="shared" si="2"/>
        <v>6.600499971594137E-2</v>
      </c>
      <c r="I32" s="166">
        <f t="shared" si="6"/>
        <v>0</v>
      </c>
      <c r="J32" s="34">
        <f t="shared" si="3"/>
        <v>-2.2004999715941369E-2</v>
      </c>
      <c r="L32" s="120">
        <f t="shared" si="7"/>
        <v>1.4668333238647123E-2</v>
      </c>
      <c r="M32" s="119">
        <f t="shared" si="8"/>
        <v>0</v>
      </c>
      <c r="N32" s="167">
        <f t="shared" si="9"/>
        <v>2.2000000000000002E-2</v>
      </c>
      <c r="O32" s="119">
        <f t="shared" si="10"/>
        <v>6.600499971594137E-2</v>
      </c>
      <c r="P32" s="119">
        <f t="shared" si="11"/>
        <v>0</v>
      </c>
      <c r="Q32" s="113">
        <f t="shared" si="12"/>
        <v>-2.2004999715941369E-2</v>
      </c>
      <c r="R32" s="84"/>
      <c r="S32" s="64"/>
      <c r="T32" s="4"/>
      <c r="U32" s="4"/>
      <c r="V32" s="4"/>
      <c r="W32" s="4"/>
      <c r="X32" s="4"/>
      <c r="Y32" s="65"/>
      <c r="Z32" s="64"/>
      <c r="AA32" s="4"/>
      <c r="AB32" s="4"/>
      <c r="AC32" s="4"/>
      <c r="AD32" s="4"/>
      <c r="AE32" s="4"/>
      <c r="AF32" s="65"/>
      <c r="AG32" s="84"/>
      <c r="AH32" s="84"/>
      <c r="AI32" s="84"/>
    </row>
    <row r="33" spans="1:35" ht="15.75" thickBot="1">
      <c r="A33" s="80">
        <v>25</v>
      </c>
      <c r="B33" s="106">
        <v>1</v>
      </c>
      <c r="C33" s="72">
        <v>100</v>
      </c>
      <c r="D33" s="169">
        <f t="shared" si="4"/>
        <v>0.01</v>
      </c>
      <c r="E33" s="173">
        <f t="shared" si="0"/>
        <v>1.4668333238647123E-2</v>
      </c>
      <c r="F33" s="164">
        <f t="shared" si="5"/>
        <v>0.01</v>
      </c>
      <c r="G33" s="165">
        <f t="shared" si="1"/>
        <v>2.2000000000000002E-2</v>
      </c>
      <c r="H33" s="166">
        <f t="shared" si="2"/>
        <v>6.600499971594137E-2</v>
      </c>
      <c r="I33" s="166">
        <f t="shared" si="6"/>
        <v>0</v>
      </c>
      <c r="J33" s="34">
        <f t="shared" si="3"/>
        <v>-2.2004999715941369E-2</v>
      </c>
      <c r="L33" s="120">
        <f t="shared" si="7"/>
        <v>1.4668333238647123E-2</v>
      </c>
      <c r="M33" s="119">
        <f t="shared" si="8"/>
        <v>0.01</v>
      </c>
      <c r="N33" s="167">
        <f t="shared" si="9"/>
        <v>2.2000000000000002E-2</v>
      </c>
      <c r="O33" s="119">
        <f t="shared" si="10"/>
        <v>6.600499971594137E-2</v>
      </c>
      <c r="P33" s="119">
        <f t="shared" si="11"/>
        <v>0</v>
      </c>
      <c r="Q33" s="113">
        <f t="shared" si="12"/>
        <v>-2.2004999715941369E-2</v>
      </c>
      <c r="R33" s="84"/>
      <c r="S33" s="64"/>
      <c r="T33" s="4"/>
      <c r="U33" s="4"/>
      <c r="V33" s="4"/>
      <c r="W33" s="4"/>
      <c r="X33" s="4"/>
      <c r="Y33" s="65"/>
      <c r="Z33" s="64"/>
      <c r="AA33" s="4"/>
      <c r="AB33" s="4"/>
      <c r="AC33" s="4"/>
      <c r="AD33" s="4"/>
      <c r="AE33" s="4"/>
      <c r="AF33" s="65"/>
      <c r="AG33" s="84"/>
      <c r="AH33" s="84"/>
      <c r="AI33" s="84"/>
    </row>
    <row r="34" spans="1:35" ht="15.75" thickBot="1">
      <c r="A34" s="2"/>
      <c r="B34" s="23"/>
      <c r="C34" s="23"/>
      <c r="D34" s="169" t="str">
        <f t="shared" si="4"/>
        <v/>
      </c>
      <c r="E34" s="173" t="str">
        <f t="shared" si="0"/>
        <v/>
      </c>
      <c r="F34" s="164" t="str">
        <f t="shared" si="5"/>
        <v/>
      </c>
      <c r="G34" s="165" t="str">
        <f t="shared" si="1"/>
        <v/>
      </c>
      <c r="H34" s="166" t="str">
        <f t="shared" si="2"/>
        <v/>
      </c>
      <c r="I34" s="166" t="str">
        <f t="shared" si="6"/>
        <v/>
      </c>
      <c r="J34" s="34" t="str">
        <f t="shared" si="3"/>
        <v/>
      </c>
      <c r="L34" s="120" t="str">
        <f t="shared" si="7"/>
        <v/>
      </c>
      <c r="M34" s="119" t="str">
        <f t="shared" si="8"/>
        <v/>
      </c>
      <c r="N34" s="167" t="str">
        <f t="shared" si="9"/>
        <v/>
      </c>
      <c r="O34" s="119" t="str">
        <f t="shared" si="10"/>
        <v/>
      </c>
      <c r="P34" s="119" t="str">
        <f t="shared" si="11"/>
        <v/>
      </c>
      <c r="Q34" s="113" t="str">
        <f t="shared" si="12"/>
        <v/>
      </c>
      <c r="R34" s="84"/>
      <c r="S34" s="66"/>
      <c r="T34" s="67"/>
      <c r="U34" s="67"/>
      <c r="V34" s="67"/>
      <c r="W34" s="67"/>
      <c r="X34" s="67"/>
      <c r="Y34" s="68"/>
      <c r="Z34" s="66"/>
      <c r="AA34" s="67"/>
      <c r="AB34" s="67"/>
      <c r="AC34" s="67"/>
      <c r="AD34" s="67"/>
      <c r="AE34" s="67"/>
      <c r="AF34" s="68"/>
      <c r="AG34" s="84"/>
      <c r="AH34" s="84"/>
      <c r="AI34" s="84"/>
    </row>
    <row r="35" spans="1:35" ht="15.75" thickBot="1">
      <c r="A35" s="2"/>
      <c r="B35" s="23"/>
      <c r="C35" s="23"/>
      <c r="D35" s="169" t="str">
        <f t="shared" si="4"/>
        <v/>
      </c>
      <c r="E35" s="173" t="str">
        <f t="shared" si="0"/>
        <v/>
      </c>
      <c r="F35" s="164" t="str">
        <f t="shared" si="5"/>
        <v/>
      </c>
      <c r="G35" s="165" t="str">
        <f t="shared" si="1"/>
        <v/>
      </c>
      <c r="H35" s="166" t="str">
        <f t="shared" si="2"/>
        <v/>
      </c>
      <c r="I35" s="166" t="str">
        <f t="shared" si="6"/>
        <v/>
      </c>
      <c r="J35" s="34" t="str">
        <f t="shared" si="3"/>
        <v/>
      </c>
      <c r="L35" s="120" t="str">
        <f t="shared" si="7"/>
        <v/>
      </c>
      <c r="M35" s="119" t="str">
        <f t="shared" si="8"/>
        <v/>
      </c>
      <c r="N35" s="167" t="str">
        <f t="shared" si="9"/>
        <v/>
      </c>
      <c r="O35" s="119" t="str">
        <f t="shared" si="10"/>
        <v/>
      </c>
      <c r="P35" s="119" t="str">
        <f t="shared" si="11"/>
        <v/>
      </c>
      <c r="Q35" s="113" t="str">
        <f t="shared" si="12"/>
        <v/>
      </c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</row>
    <row r="36" spans="1:35" ht="15.75" thickBot="1">
      <c r="A36" s="2"/>
      <c r="B36" s="23"/>
      <c r="C36" s="23"/>
      <c r="D36" s="169" t="str">
        <f t="shared" si="4"/>
        <v/>
      </c>
      <c r="E36" s="173" t="str">
        <f t="shared" si="0"/>
        <v/>
      </c>
      <c r="F36" s="164" t="str">
        <f t="shared" si="5"/>
        <v/>
      </c>
      <c r="G36" s="165" t="str">
        <f t="shared" si="1"/>
        <v/>
      </c>
      <c r="H36" s="166" t="str">
        <f t="shared" si="2"/>
        <v/>
      </c>
      <c r="I36" s="166" t="str">
        <f t="shared" si="6"/>
        <v/>
      </c>
      <c r="J36" s="34" t="str">
        <f t="shared" si="3"/>
        <v/>
      </c>
      <c r="L36" s="120" t="str">
        <f t="shared" si="7"/>
        <v/>
      </c>
      <c r="M36" s="119" t="str">
        <f t="shared" si="8"/>
        <v/>
      </c>
      <c r="N36" s="167" t="str">
        <f t="shared" si="9"/>
        <v/>
      </c>
      <c r="O36" s="119" t="str">
        <f t="shared" si="10"/>
        <v/>
      </c>
      <c r="P36" s="119" t="str">
        <f t="shared" si="11"/>
        <v/>
      </c>
      <c r="Q36" s="113" t="str">
        <f t="shared" si="12"/>
        <v/>
      </c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</row>
    <row r="37" spans="1:35" ht="15.75" thickBot="1">
      <c r="A37" s="2"/>
      <c r="B37" s="23"/>
      <c r="C37" s="23"/>
      <c r="D37" s="169" t="str">
        <f t="shared" si="4"/>
        <v/>
      </c>
      <c r="E37" s="173" t="str">
        <f t="shared" si="0"/>
        <v/>
      </c>
      <c r="F37" s="164" t="str">
        <f t="shared" si="5"/>
        <v/>
      </c>
      <c r="G37" s="165" t="str">
        <f t="shared" si="1"/>
        <v/>
      </c>
      <c r="H37" s="166" t="str">
        <f t="shared" si="2"/>
        <v/>
      </c>
      <c r="I37" s="166" t="str">
        <f t="shared" si="6"/>
        <v/>
      </c>
      <c r="J37" s="34" t="str">
        <f t="shared" si="3"/>
        <v/>
      </c>
      <c r="L37" s="120" t="str">
        <f t="shared" si="7"/>
        <v/>
      </c>
      <c r="M37" s="119" t="str">
        <f t="shared" si="8"/>
        <v/>
      </c>
      <c r="N37" s="167" t="str">
        <f t="shared" si="9"/>
        <v/>
      </c>
      <c r="O37" s="119" t="str">
        <f t="shared" si="10"/>
        <v/>
      </c>
      <c r="P37" s="119" t="str">
        <f t="shared" si="11"/>
        <v/>
      </c>
      <c r="Q37" s="113" t="str">
        <f t="shared" si="12"/>
        <v/>
      </c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</row>
    <row r="38" spans="1:35" ht="15.75" thickBot="1">
      <c r="A38" s="2"/>
      <c r="B38" s="23"/>
      <c r="C38" s="23"/>
      <c r="D38" s="169" t="str">
        <f t="shared" si="4"/>
        <v/>
      </c>
      <c r="E38" s="173" t="str">
        <f t="shared" si="0"/>
        <v/>
      </c>
      <c r="F38" s="164" t="str">
        <f t="shared" si="5"/>
        <v/>
      </c>
      <c r="G38" s="165" t="str">
        <f t="shared" si="1"/>
        <v/>
      </c>
      <c r="H38" s="166" t="str">
        <f t="shared" si="2"/>
        <v/>
      </c>
      <c r="I38" s="166" t="str">
        <f t="shared" si="6"/>
        <v/>
      </c>
      <c r="J38" s="34" t="str">
        <f t="shared" si="3"/>
        <v/>
      </c>
      <c r="L38" s="120" t="str">
        <f t="shared" si="7"/>
        <v/>
      </c>
      <c r="M38" s="119" t="str">
        <f t="shared" si="8"/>
        <v/>
      </c>
      <c r="N38" s="167" t="str">
        <f t="shared" si="9"/>
        <v/>
      </c>
      <c r="O38" s="119" t="str">
        <f t="shared" si="10"/>
        <v/>
      </c>
      <c r="P38" s="119" t="str">
        <f t="shared" si="11"/>
        <v/>
      </c>
      <c r="Q38" s="113" t="str">
        <f t="shared" si="12"/>
        <v/>
      </c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</row>
    <row r="39" spans="1:35" ht="15.75" thickBot="1">
      <c r="A39" s="2"/>
      <c r="B39" s="23"/>
      <c r="C39" s="23"/>
      <c r="D39" s="169" t="str">
        <f t="shared" si="4"/>
        <v/>
      </c>
      <c r="E39" s="173" t="str">
        <f t="shared" si="0"/>
        <v/>
      </c>
      <c r="F39" s="164" t="str">
        <f t="shared" si="5"/>
        <v/>
      </c>
      <c r="G39" s="165" t="str">
        <f t="shared" si="1"/>
        <v/>
      </c>
      <c r="H39" s="166" t="str">
        <f t="shared" si="2"/>
        <v/>
      </c>
      <c r="I39" s="166" t="str">
        <f t="shared" si="6"/>
        <v/>
      </c>
      <c r="J39" s="34" t="str">
        <f t="shared" si="3"/>
        <v/>
      </c>
      <c r="L39" s="120" t="str">
        <f t="shared" si="7"/>
        <v/>
      </c>
      <c r="M39" s="119" t="str">
        <f t="shared" si="8"/>
        <v/>
      </c>
      <c r="N39" s="167" t="str">
        <f t="shared" si="9"/>
        <v/>
      </c>
      <c r="O39" s="119" t="str">
        <f t="shared" si="10"/>
        <v/>
      </c>
      <c r="P39" s="119" t="str">
        <f t="shared" si="11"/>
        <v/>
      </c>
      <c r="Q39" s="113" t="str">
        <f t="shared" si="12"/>
        <v/>
      </c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</row>
    <row r="40" spans="1:35" ht="15.75" thickBot="1">
      <c r="A40" s="2"/>
      <c r="B40" s="23"/>
      <c r="C40" s="23"/>
      <c r="D40" s="169" t="str">
        <f t="shared" si="4"/>
        <v/>
      </c>
      <c r="E40" s="173" t="str">
        <f t="shared" si="0"/>
        <v/>
      </c>
      <c r="F40" s="164" t="str">
        <f t="shared" si="5"/>
        <v/>
      </c>
      <c r="G40" s="165" t="str">
        <f t="shared" si="1"/>
        <v/>
      </c>
      <c r="H40" s="166" t="str">
        <f t="shared" si="2"/>
        <v/>
      </c>
      <c r="I40" s="166" t="str">
        <f t="shared" si="6"/>
        <v/>
      </c>
      <c r="J40" s="34" t="str">
        <f t="shared" si="3"/>
        <v/>
      </c>
      <c r="L40" s="120" t="str">
        <f t="shared" si="7"/>
        <v/>
      </c>
      <c r="M40" s="119" t="str">
        <f t="shared" si="8"/>
        <v/>
      </c>
      <c r="N40" s="167" t="str">
        <f t="shared" si="9"/>
        <v/>
      </c>
      <c r="O40" s="119" t="str">
        <f t="shared" si="10"/>
        <v/>
      </c>
      <c r="P40" s="119" t="str">
        <f t="shared" si="11"/>
        <v/>
      </c>
      <c r="Q40" s="113" t="str">
        <f t="shared" si="12"/>
        <v/>
      </c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</row>
    <row r="41" spans="1:35" ht="15.75" thickBot="1">
      <c r="A41" s="2"/>
      <c r="B41" s="23"/>
      <c r="C41" s="23"/>
      <c r="D41" s="169" t="str">
        <f t="shared" si="4"/>
        <v/>
      </c>
      <c r="E41" s="173" t="str">
        <f t="shared" ref="E41:E72" si="13">IF(C41&gt;0,SQRT((G41*(1-G41))/C41),"")</f>
        <v/>
      </c>
      <c r="F41" s="164" t="str">
        <f t="shared" si="5"/>
        <v/>
      </c>
      <c r="G41" s="165" t="str">
        <f t="shared" ref="G41:G72" si="14">IF(C41&gt;0,AVERAGE($B$9:$B$116)/C41,"")</f>
        <v/>
      </c>
      <c r="H41" s="166" t="str">
        <f t="shared" ref="H41:H72" si="15">IF(C41&gt;0,G41+E41*3,"")</f>
        <v/>
      </c>
      <c r="I41" s="166" t="str">
        <f t="shared" si="6"/>
        <v/>
      </c>
      <c r="J41" s="34" t="str">
        <f t="shared" ref="J41:J72" si="16">IF(C41&gt;0,G41-E41*3,"")</f>
        <v/>
      </c>
      <c r="L41" s="120" t="str">
        <f t="shared" si="7"/>
        <v/>
      </c>
      <c r="M41" s="119" t="str">
        <f t="shared" si="8"/>
        <v/>
      </c>
      <c r="N41" s="167" t="str">
        <f t="shared" si="9"/>
        <v/>
      </c>
      <c r="O41" s="119" t="str">
        <f t="shared" si="10"/>
        <v/>
      </c>
      <c r="P41" s="119" t="str">
        <f t="shared" si="11"/>
        <v/>
      </c>
      <c r="Q41" s="113" t="str">
        <f t="shared" si="12"/>
        <v/>
      </c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</row>
    <row r="42" spans="1:35" ht="15.75" thickBot="1">
      <c r="A42" s="2"/>
      <c r="B42" s="23"/>
      <c r="C42" s="23"/>
      <c r="D42" s="169" t="str">
        <f t="shared" si="4"/>
        <v/>
      </c>
      <c r="E42" s="173" t="str">
        <f t="shared" si="13"/>
        <v/>
      </c>
      <c r="F42" s="164" t="str">
        <f t="shared" si="5"/>
        <v/>
      </c>
      <c r="G42" s="165" t="str">
        <f t="shared" si="14"/>
        <v/>
      </c>
      <c r="H42" s="166" t="str">
        <f t="shared" si="15"/>
        <v/>
      </c>
      <c r="I42" s="166" t="str">
        <f t="shared" si="6"/>
        <v/>
      </c>
      <c r="J42" s="34" t="str">
        <f t="shared" si="16"/>
        <v/>
      </c>
      <c r="L42" s="120" t="str">
        <f t="shared" si="7"/>
        <v/>
      </c>
      <c r="M42" s="119" t="str">
        <f t="shared" si="8"/>
        <v/>
      </c>
      <c r="N42" s="167" t="str">
        <f t="shared" si="9"/>
        <v/>
      </c>
      <c r="O42" s="119" t="str">
        <f t="shared" si="10"/>
        <v/>
      </c>
      <c r="P42" s="119" t="str">
        <f t="shared" si="11"/>
        <v/>
      </c>
      <c r="Q42" s="113" t="str">
        <f t="shared" si="12"/>
        <v/>
      </c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</row>
    <row r="43" spans="1:35" ht="15.75" thickBot="1">
      <c r="A43" s="2"/>
      <c r="B43" s="23"/>
      <c r="C43" s="23"/>
      <c r="D43" s="169" t="str">
        <f t="shared" si="4"/>
        <v/>
      </c>
      <c r="E43" s="173" t="str">
        <f t="shared" si="13"/>
        <v/>
      </c>
      <c r="F43" s="164" t="str">
        <f t="shared" si="5"/>
        <v/>
      </c>
      <c r="G43" s="165" t="str">
        <f t="shared" si="14"/>
        <v/>
      </c>
      <c r="H43" s="166" t="str">
        <f t="shared" si="15"/>
        <v/>
      </c>
      <c r="I43" s="166" t="str">
        <f t="shared" si="6"/>
        <v/>
      </c>
      <c r="J43" s="34" t="str">
        <f t="shared" si="16"/>
        <v/>
      </c>
      <c r="L43" s="120" t="str">
        <f t="shared" si="7"/>
        <v/>
      </c>
      <c r="M43" s="119" t="str">
        <f t="shared" si="8"/>
        <v/>
      </c>
      <c r="N43" s="167" t="str">
        <f t="shared" si="9"/>
        <v/>
      </c>
      <c r="O43" s="119" t="str">
        <f t="shared" si="10"/>
        <v/>
      </c>
      <c r="P43" s="119" t="str">
        <f t="shared" si="11"/>
        <v/>
      </c>
      <c r="Q43" s="113" t="str">
        <f t="shared" si="12"/>
        <v/>
      </c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</row>
    <row r="44" spans="1:35" ht="15.75" thickBot="1">
      <c r="A44" s="2"/>
      <c r="B44" s="23"/>
      <c r="C44" s="23"/>
      <c r="D44" s="169" t="str">
        <f t="shared" si="4"/>
        <v/>
      </c>
      <c r="E44" s="173" t="str">
        <f t="shared" si="13"/>
        <v/>
      </c>
      <c r="F44" s="164" t="str">
        <f t="shared" si="5"/>
        <v/>
      </c>
      <c r="G44" s="165" t="str">
        <f t="shared" si="14"/>
        <v/>
      </c>
      <c r="H44" s="166" t="str">
        <f t="shared" si="15"/>
        <v/>
      </c>
      <c r="I44" s="166" t="str">
        <f t="shared" si="6"/>
        <v/>
      </c>
      <c r="J44" s="34" t="str">
        <f t="shared" si="16"/>
        <v/>
      </c>
      <c r="L44" s="120" t="str">
        <f t="shared" si="7"/>
        <v/>
      </c>
      <c r="M44" s="119" t="str">
        <f t="shared" si="8"/>
        <v/>
      </c>
      <c r="N44" s="167" t="str">
        <f t="shared" si="9"/>
        <v/>
      </c>
      <c r="O44" s="119" t="str">
        <f t="shared" si="10"/>
        <v/>
      </c>
      <c r="P44" s="119" t="str">
        <f t="shared" si="11"/>
        <v/>
      </c>
      <c r="Q44" s="113" t="str">
        <f t="shared" si="12"/>
        <v/>
      </c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</row>
    <row r="45" spans="1:35" ht="15.75" thickBot="1">
      <c r="A45" s="2"/>
      <c r="B45" s="23"/>
      <c r="C45" s="23"/>
      <c r="D45" s="169" t="str">
        <f t="shared" si="4"/>
        <v/>
      </c>
      <c r="E45" s="173" t="str">
        <f t="shared" si="13"/>
        <v/>
      </c>
      <c r="F45" s="164" t="str">
        <f t="shared" si="5"/>
        <v/>
      </c>
      <c r="G45" s="165" t="str">
        <f t="shared" si="14"/>
        <v/>
      </c>
      <c r="H45" s="166" t="str">
        <f t="shared" si="15"/>
        <v/>
      </c>
      <c r="I45" s="166" t="str">
        <f t="shared" si="6"/>
        <v/>
      </c>
      <c r="J45" s="34" t="str">
        <f t="shared" si="16"/>
        <v/>
      </c>
      <c r="L45" s="120" t="str">
        <f t="shared" si="7"/>
        <v/>
      </c>
      <c r="M45" s="119" t="str">
        <f t="shared" si="8"/>
        <v/>
      </c>
      <c r="N45" s="167" t="str">
        <f t="shared" si="9"/>
        <v/>
      </c>
      <c r="O45" s="119" t="str">
        <f t="shared" si="10"/>
        <v/>
      </c>
      <c r="P45" s="119" t="str">
        <f t="shared" si="11"/>
        <v/>
      </c>
      <c r="Q45" s="113" t="str">
        <f t="shared" si="12"/>
        <v/>
      </c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</row>
    <row r="46" spans="1:35" ht="15.75" thickBot="1">
      <c r="A46" s="2"/>
      <c r="B46" s="23"/>
      <c r="C46" s="23"/>
      <c r="D46" s="169" t="str">
        <f t="shared" si="4"/>
        <v/>
      </c>
      <c r="E46" s="173" t="str">
        <f t="shared" si="13"/>
        <v/>
      </c>
      <c r="F46" s="164" t="str">
        <f t="shared" si="5"/>
        <v/>
      </c>
      <c r="G46" s="165" t="str">
        <f t="shared" si="14"/>
        <v/>
      </c>
      <c r="H46" s="166" t="str">
        <f t="shared" si="15"/>
        <v/>
      </c>
      <c r="I46" s="166" t="str">
        <f t="shared" si="6"/>
        <v/>
      </c>
      <c r="J46" s="34" t="str">
        <f t="shared" si="16"/>
        <v/>
      </c>
      <c r="L46" s="120" t="str">
        <f t="shared" si="7"/>
        <v/>
      </c>
      <c r="M46" s="119" t="str">
        <f t="shared" si="8"/>
        <v/>
      </c>
      <c r="N46" s="167" t="str">
        <f t="shared" si="9"/>
        <v/>
      </c>
      <c r="O46" s="119" t="str">
        <f t="shared" si="10"/>
        <v/>
      </c>
      <c r="P46" s="119" t="str">
        <f t="shared" si="11"/>
        <v/>
      </c>
      <c r="Q46" s="113" t="str">
        <f t="shared" si="12"/>
        <v/>
      </c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</row>
    <row r="47" spans="1:35" ht="15.75" thickBot="1">
      <c r="A47" s="2"/>
      <c r="B47" s="23"/>
      <c r="C47" s="23"/>
      <c r="D47" s="169" t="str">
        <f t="shared" si="4"/>
        <v/>
      </c>
      <c r="E47" s="173" t="str">
        <f t="shared" si="13"/>
        <v/>
      </c>
      <c r="F47" s="164" t="str">
        <f t="shared" si="5"/>
        <v/>
      </c>
      <c r="G47" s="165" t="str">
        <f t="shared" si="14"/>
        <v/>
      </c>
      <c r="H47" s="166" t="str">
        <f t="shared" si="15"/>
        <v/>
      </c>
      <c r="I47" s="166" t="str">
        <f t="shared" si="6"/>
        <v/>
      </c>
      <c r="J47" s="34" t="str">
        <f t="shared" si="16"/>
        <v/>
      </c>
      <c r="L47" s="120" t="str">
        <f t="shared" si="7"/>
        <v/>
      </c>
      <c r="M47" s="119" t="str">
        <f t="shared" si="8"/>
        <v/>
      </c>
      <c r="N47" s="167" t="str">
        <f t="shared" si="9"/>
        <v/>
      </c>
      <c r="O47" s="119" t="str">
        <f t="shared" si="10"/>
        <v/>
      </c>
      <c r="P47" s="119" t="str">
        <f t="shared" si="11"/>
        <v/>
      </c>
      <c r="Q47" s="113" t="str">
        <f t="shared" si="12"/>
        <v/>
      </c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</row>
    <row r="48" spans="1:35" ht="15.75" thickBot="1">
      <c r="A48" s="2"/>
      <c r="B48" s="23"/>
      <c r="C48" s="23"/>
      <c r="D48" s="169" t="str">
        <f t="shared" si="4"/>
        <v/>
      </c>
      <c r="E48" s="173" t="str">
        <f t="shared" si="13"/>
        <v/>
      </c>
      <c r="F48" s="164" t="str">
        <f t="shared" si="5"/>
        <v/>
      </c>
      <c r="G48" s="165" t="str">
        <f t="shared" si="14"/>
        <v/>
      </c>
      <c r="H48" s="166" t="str">
        <f t="shared" si="15"/>
        <v/>
      </c>
      <c r="I48" s="166" t="str">
        <f t="shared" si="6"/>
        <v/>
      </c>
      <c r="J48" s="34" t="str">
        <f t="shared" si="16"/>
        <v/>
      </c>
      <c r="L48" s="120" t="str">
        <f t="shared" si="7"/>
        <v/>
      </c>
      <c r="M48" s="119" t="str">
        <f t="shared" si="8"/>
        <v/>
      </c>
      <c r="N48" s="167" t="str">
        <f t="shared" si="9"/>
        <v/>
      </c>
      <c r="O48" s="119" t="str">
        <f t="shared" si="10"/>
        <v/>
      </c>
      <c r="P48" s="119" t="str">
        <f t="shared" si="11"/>
        <v/>
      </c>
      <c r="Q48" s="113" t="str">
        <f t="shared" si="12"/>
        <v/>
      </c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</row>
    <row r="49" spans="1:35" ht="15.75" thickBot="1">
      <c r="A49" s="2"/>
      <c r="B49" s="23"/>
      <c r="C49" s="23"/>
      <c r="D49" s="169" t="str">
        <f t="shared" si="4"/>
        <v/>
      </c>
      <c r="E49" s="173" t="str">
        <f t="shared" si="13"/>
        <v/>
      </c>
      <c r="F49" s="164" t="str">
        <f t="shared" si="5"/>
        <v/>
      </c>
      <c r="G49" s="165" t="str">
        <f t="shared" si="14"/>
        <v/>
      </c>
      <c r="H49" s="166" t="str">
        <f t="shared" si="15"/>
        <v/>
      </c>
      <c r="I49" s="166" t="str">
        <f t="shared" si="6"/>
        <v/>
      </c>
      <c r="J49" s="34" t="str">
        <f t="shared" si="16"/>
        <v/>
      </c>
      <c r="L49" s="120" t="str">
        <f t="shared" si="7"/>
        <v/>
      </c>
      <c r="M49" s="119" t="str">
        <f t="shared" si="8"/>
        <v/>
      </c>
      <c r="N49" s="167" t="str">
        <f t="shared" si="9"/>
        <v/>
      </c>
      <c r="O49" s="119" t="str">
        <f t="shared" si="10"/>
        <v/>
      </c>
      <c r="P49" s="119" t="str">
        <f t="shared" si="11"/>
        <v/>
      </c>
      <c r="Q49" s="113" t="str">
        <f t="shared" si="12"/>
        <v/>
      </c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</row>
    <row r="50" spans="1:35" ht="15.75" thickBot="1">
      <c r="A50" s="2"/>
      <c r="B50" s="23"/>
      <c r="C50" s="23"/>
      <c r="D50" s="169" t="str">
        <f t="shared" si="4"/>
        <v/>
      </c>
      <c r="E50" s="173" t="str">
        <f t="shared" si="13"/>
        <v/>
      </c>
      <c r="F50" s="164" t="str">
        <f t="shared" si="5"/>
        <v/>
      </c>
      <c r="G50" s="165" t="str">
        <f t="shared" si="14"/>
        <v/>
      </c>
      <c r="H50" s="166" t="str">
        <f t="shared" si="15"/>
        <v/>
      </c>
      <c r="I50" s="166" t="str">
        <f t="shared" si="6"/>
        <v/>
      </c>
      <c r="J50" s="34" t="str">
        <f t="shared" si="16"/>
        <v/>
      </c>
      <c r="L50" s="120" t="str">
        <f t="shared" si="7"/>
        <v/>
      </c>
      <c r="M50" s="119" t="str">
        <f t="shared" si="8"/>
        <v/>
      </c>
      <c r="N50" s="167" t="str">
        <f t="shared" si="9"/>
        <v/>
      </c>
      <c r="O50" s="119" t="str">
        <f t="shared" si="10"/>
        <v/>
      </c>
      <c r="P50" s="119" t="str">
        <f t="shared" si="11"/>
        <v/>
      </c>
      <c r="Q50" s="113" t="str">
        <f t="shared" si="12"/>
        <v/>
      </c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</row>
    <row r="51" spans="1:35" ht="15.75" thickBot="1">
      <c r="A51" s="2"/>
      <c r="B51" s="23"/>
      <c r="C51" s="23"/>
      <c r="D51" s="169" t="str">
        <f t="shared" si="4"/>
        <v/>
      </c>
      <c r="E51" s="173" t="str">
        <f t="shared" si="13"/>
        <v/>
      </c>
      <c r="F51" s="164" t="str">
        <f t="shared" si="5"/>
        <v/>
      </c>
      <c r="G51" s="165" t="str">
        <f t="shared" si="14"/>
        <v/>
      </c>
      <c r="H51" s="166" t="str">
        <f t="shared" si="15"/>
        <v/>
      </c>
      <c r="I51" s="166" t="str">
        <f t="shared" si="6"/>
        <v/>
      </c>
      <c r="J51" s="34" t="str">
        <f t="shared" si="16"/>
        <v/>
      </c>
      <c r="L51" s="120" t="str">
        <f t="shared" si="7"/>
        <v/>
      </c>
      <c r="M51" s="119" t="str">
        <f t="shared" si="8"/>
        <v/>
      </c>
      <c r="N51" s="167" t="str">
        <f t="shared" si="9"/>
        <v/>
      </c>
      <c r="O51" s="119" t="str">
        <f t="shared" si="10"/>
        <v/>
      </c>
      <c r="P51" s="119" t="str">
        <f t="shared" si="11"/>
        <v/>
      </c>
      <c r="Q51" s="113" t="str">
        <f t="shared" si="12"/>
        <v/>
      </c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</row>
    <row r="52" spans="1:35" ht="15.75" thickBot="1">
      <c r="A52" s="2"/>
      <c r="B52" s="23"/>
      <c r="C52" s="23"/>
      <c r="D52" s="169" t="str">
        <f t="shared" si="4"/>
        <v/>
      </c>
      <c r="E52" s="173" t="str">
        <f t="shared" si="13"/>
        <v/>
      </c>
      <c r="F52" s="164" t="str">
        <f t="shared" si="5"/>
        <v/>
      </c>
      <c r="G52" s="165" t="str">
        <f t="shared" si="14"/>
        <v/>
      </c>
      <c r="H52" s="166" t="str">
        <f t="shared" si="15"/>
        <v/>
      </c>
      <c r="I52" s="166" t="str">
        <f t="shared" si="6"/>
        <v/>
      </c>
      <c r="J52" s="34" t="str">
        <f t="shared" si="16"/>
        <v/>
      </c>
      <c r="L52" s="120" t="str">
        <f t="shared" si="7"/>
        <v/>
      </c>
      <c r="M52" s="119" t="str">
        <f t="shared" si="8"/>
        <v/>
      </c>
      <c r="N52" s="167" t="str">
        <f t="shared" si="9"/>
        <v/>
      </c>
      <c r="O52" s="119" t="str">
        <f t="shared" si="10"/>
        <v/>
      </c>
      <c r="P52" s="119" t="str">
        <f t="shared" si="11"/>
        <v/>
      </c>
      <c r="Q52" s="113" t="str">
        <f t="shared" si="12"/>
        <v/>
      </c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</row>
    <row r="53" spans="1:35" ht="15.75" thickBot="1">
      <c r="A53" s="2"/>
      <c r="B53" s="23"/>
      <c r="C53" s="23"/>
      <c r="D53" s="169" t="str">
        <f t="shared" si="4"/>
        <v/>
      </c>
      <c r="E53" s="173" t="str">
        <f t="shared" si="13"/>
        <v/>
      </c>
      <c r="F53" s="164" t="str">
        <f t="shared" si="5"/>
        <v/>
      </c>
      <c r="G53" s="165" t="str">
        <f t="shared" si="14"/>
        <v/>
      </c>
      <c r="H53" s="166" t="str">
        <f t="shared" si="15"/>
        <v/>
      </c>
      <c r="I53" s="166" t="str">
        <f t="shared" si="6"/>
        <v/>
      </c>
      <c r="J53" s="34" t="str">
        <f t="shared" si="16"/>
        <v/>
      </c>
      <c r="L53" s="120" t="str">
        <f t="shared" si="7"/>
        <v/>
      </c>
      <c r="M53" s="119" t="str">
        <f t="shared" si="8"/>
        <v/>
      </c>
      <c r="N53" s="167" t="str">
        <f t="shared" si="9"/>
        <v/>
      </c>
      <c r="O53" s="119" t="str">
        <f t="shared" si="10"/>
        <v/>
      </c>
      <c r="P53" s="119" t="str">
        <f t="shared" si="11"/>
        <v/>
      </c>
      <c r="Q53" s="113" t="str">
        <f t="shared" si="12"/>
        <v/>
      </c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</row>
    <row r="54" spans="1:35" ht="15.75" thickBot="1">
      <c r="A54" s="2"/>
      <c r="B54" s="23"/>
      <c r="C54" s="23"/>
      <c r="D54" s="169" t="str">
        <f t="shared" si="4"/>
        <v/>
      </c>
      <c r="E54" s="173" t="str">
        <f t="shared" si="13"/>
        <v/>
      </c>
      <c r="F54" s="164" t="str">
        <f t="shared" si="5"/>
        <v/>
      </c>
      <c r="G54" s="165" t="str">
        <f t="shared" si="14"/>
        <v/>
      </c>
      <c r="H54" s="166" t="str">
        <f t="shared" si="15"/>
        <v/>
      </c>
      <c r="I54" s="166" t="str">
        <f t="shared" si="6"/>
        <v/>
      </c>
      <c r="J54" s="34" t="str">
        <f t="shared" si="16"/>
        <v/>
      </c>
      <c r="L54" s="120" t="str">
        <f t="shared" si="7"/>
        <v/>
      </c>
      <c r="M54" s="119" t="str">
        <f t="shared" si="8"/>
        <v/>
      </c>
      <c r="N54" s="167" t="str">
        <f t="shared" si="9"/>
        <v/>
      </c>
      <c r="O54" s="119" t="str">
        <f t="shared" si="10"/>
        <v/>
      </c>
      <c r="P54" s="119" t="str">
        <f t="shared" si="11"/>
        <v/>
      </c>
      <c r="Q54" s="113" t="str">
        <f t="shared" si="12"/>
        <v/>
      </c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</row>
    <row r="55" spans="1:35" ht="15.75" thickBot="1">
      <c r="A55" s="2"/>
      <c r="B55" s="23"/>
      <c r="C55" s="23"/>
      <c r="D55" s="169" t="str">
        <f t="shared" si="4"/>
        <v/>
      </c>
      <c r="E55" s="173" t="str">
        <f t="shared" si="13"/>
        <v/>
      </c>
      <c r="F55" s="164" t="str">
        <f t="shared" si="5"/>
        <v/>
      </c>
      <c r="G55" s="165" t="str">
        <f t="shared" si="14"/>
        <v/>
      </c>
      <c r="H55" s="166" t="str">
        <f t="shared" si="15"/>
        <v/>
      </c>
      <c r="I55" s="166" t="str">
        <f t="shared" si="6"/>
        <v/>
      </c>
      <c r="J55" s="34" t="str">
        <f t="shared" si="16"/>
        <v/>
      </c>
      <c r="L55" s="120" t="str">
        <f t="shared" si="7"/>
        <v/>
      </c>
      <c r="M55" s="119" t="str">
        <f t="shared" si="8"/>
        <v/>
      </c>
      <c r="N55" s="167" t="str">
        <f t="shared" si="9"/>
        <v/>
      </c>
      <c r="O55" s="119" t="str">
        <f t="shared" si="10"/>
        <v/>
      </c>
      <c r="P55" s="119" t="str">
        <f t="shared" si="11"/>
        <v/>
      </c>
      <c r="Q55" s="113" t="str">
        <f t="shared" si="12"/>
        <v/>
      </c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</row>
    <row r="56" spans="1:35" ht="15.75" thickBot="1">
      <c r="A56" s="2"/>
      <c r="B56" s="23"/>
      <c r="C56" s="23"/>
      <c r="D56" s="169" t="str">
        <f t="shared" si="4"/>
        <v/>
      </c>
      <c r="E56" s="173" t="str">
        <f t="shared" si="13"/>
        <v/>
      </c>
      <c r="F56" s="164" t="str">
        <f t="shared" si="5"/>
        <v/>
      </c>
      <c r="G56" s="165" t="str">
        <f t="shared" si="14"/>
        <v/>
      </c>
      <c r="H56" s="166" t="str">
        <f t="shared" si="15"/>
        <v/>
      </c>
      <c r="I56" s="166" t="str">
        <f t="shared" si="6"/>
        <v/>
      </c>
      <c r="J56" s="34" t="str">
        <f t="shared" si="16"/>
        <v/>
      </c>
      <c r="L56" s="120" t="str">
        <f t="shared" si="7"/>
        <v/>
      </c>
      <c r="M56" s="119" t="str">
        <f t="shared" si="8"/>
        <v/>
      </c>
      <c r="N56" s="167" t="str">
        <f t="shared" si="9"/>
        <v/>
      </c>
      <c r="O56" s="119" t="str">
        <f t="shared" si="10"/>
        <v/>
      </c>
      <c r="P56" s="119" t="str">
        <f t="shared" si="11"/>
        <v/>
      </c>
      <c r="Q56" s="113" t="str">
        <f t="shared" si="12"/>
        <v/>
      </c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</row>
    <row r="57" spans="1:35" ht="15.75" thickBot="1">
      <c r="A57" s="2"/>
      <c r="B57" s="23"/>
      <c r="C57" s="23"/>
      <c r="D57" s="169" t="str">
        <f t="shared" si="4"/>
        <v/>
      </c>
      <c r="E57" s="173" t="str">
        <f t="shared" si="13"/>
        <v/>
      </c>
      <c r="F57" s="164" t="str">
        <f t="shared" si="5"/>
        <v/>
      </c>
      <c r="G57" s="165" t="str">
        <f t="shared" si="14"/>
        <v/>
      </c>
      <c r="H57" s="166" t="str">
        <f t="shared" si="15"/>
        <v/>
      </c>
      <c r="I57" s="166" t="str">
        <f t="shared" si="6"/>
        <v/>
      </c>
      <c r="J57" s="34" t="str">
        <f t="shared" si="16"/>
        <v/>
      </c>
      <c r="L57" s="120" t="str">
        <f t="shared" si="7"/>
        <v/>
      </c>
      <c r="M57" s="119" t="str">
        <f t="shared" si="8"/>
        <v/>
      </c>
      <c r="N57" s="167" t="str">
        <f t="shared" si="9"/>
        <v/>
      </c>
      <c r="O57" s="119" t="str">
        <f t="shared" si="10"/>
        <v/>
      </c>
      <c r="P57" s="119" t="str">
        <f t="shared" si="11"/>
        <v/>
      </c>
      <c r="Q57" s="113" t="str">
        <f t="shared" si="12"/>
        <v/>
      </c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</row>
    <row r="58" spans="1:35" ht="15.75" thickBot="1">
      <c r="A58" s="2"/>
      <c r="B58" s="23"/>
      <c r="C58" s="23"/>
      <c r="D58" s="169" t="str">
        <f t="shared" si="4"/>
        <v/>
      </c>
      <c r="E58" s="173" t="str">
        <f t="shared" si="13"/>
        <v/>
      </c>
      <c r="F58" s="164" t="str">
        <f t="shared" si="5"/>
        <v/>
      </c>
      <c r="G58" s="165" t="str">
        <f t="shared" si="14"/>
        <v/>
      </c>
      <c r="H58" s="166" t="str">
        <f t="shared" si="15"/>
        <v/>
      </c>
      <c r="I58" s="166" t="str">
        <f t="shared" si="6"/>
        <v/>
      </c>
      <c r="J58" s="34" t="str">
        <f t="shared" si="16"/>
        <v/>
      </c>
      <c r="L58" s="120" t="str">
        <f t="shared" si="7"/>
        <v/>
      </c>
      <c r="M58" s="119" t="str">
        <f t="shared" si="8"/>
        <v/>
      </c>
      <c r="N58" s="167" t="str">
        <f t="shared" si="9"/>
        <v/>
      </c>
      <c r="O58" s="119" t="str">
        <f t="shared" si="10"/>
        <v/>
      </c>
      <c r="P58" s="119" t="str">
        <f t="shared" si="11"/>
        <v/>
      </c>
      <c r="Q58" s="113" t="str">
        <f t="shared" si="12"/>
        <v/>
      </c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</row>
    <row r="59" spans="1:35" ht="15.75" thickBot="1">
      <c r="A59" s="2"/>
      <c r="B59" s="23"/>
      <c r="C59" s="23"/>
      <c r="D59" s="169" t="str">
        <f t="shared" si="4"/>
        <v/>
      </c>
      <c r="E59" s="173" t="str">
        <f t="shared" si="13"/>
        <v/>
      </c>
      <c r="F59" s="164" t="str">
        <f t="shared" si="5"/>
        <v/>
      </c>
      <c r="G59" s="165" t="str">
        <f t="shared" si="14"/>
        <v/>
      </c>
      <c r="H59" s="166" t="str">
        <f t="shared" si="15"/>
        <v/>
      </c>
      <c r="I59" s="166" t="str">
        <f t="shared" si="6"/>
        <v/>
      </c>
      <c r="J59" s="34" t="str">
        <f t="shared" si="16"/>
        <v/>
      </c>
      <c r="L59" s="120" t="str">
        <f t="shared" si="7"/>
        <v/>
      </c>
      <c r="M59" s="119" t="str">
        <f t="shared" si="8"/>
        <v/>
      </c>
      <c r="N59" s="167" t="str">
        <f t="shared" si="9"/>
        <v/>
      </c>
      <c r="O59" s="119" t="str">
        <f t="shared" si="10"/>
        <v/>
      </c>
      <c r="P59" s="119" t="str">
        <f t="shared" si="11"/>
        <v/>
      </c>
      <c r="Q59" s="113" t="str">
        <f t="shared" si="12"/>
        <v/>
      </c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</row>
    <row r="60" spans="1:35" ht="15.75" thickBot="1">
      <c r="A60" s="2"/>
      <c r="B60" s="23"/>
      <c r="C60" s="23"/>
      <c r="D60" s="169" t="str">
        <f t="shared" si="4"/>
        <v/>
      </c>
      <c r="E60" s="173" t="str">
        <f t="shared" si="13"/>
        <v/>
      </c>
      <c r="F60" s="164" t="str">
        <f t="shared" si="5"/>
        <v/>
      </c>
      <c r="G60" s="165" t="str">
        <f t="shared" si="14"/>
        <v/>
      </c>
      <c r="H60" s="166" t="str">
        <f t="shared" si="15"/>
        <v/>
      </c>
      <c r="I60" s="166" t="str">
        <f t="shared" si="6"/>
        <v/>
      </c>
      <c r="J60" s="34" t="str">
        <f t="shared" si="16"/>
        <v/>
      </c>
      <c r="L60" s="120" t="str">
        <f t="shared" si="7"/>
        <v/>
      </c>
      <c r="M60" s="119" t="str">
        <f t="shared" si="8"/>
        <v/>
      </c>
      <c r="N60" s="167" t="str">
        <f t="shared" si="9"/>
        <v/>
      </c>
      <c r="O60" s="119" t="str">
        <f t="shared" si="10"/>
        <v/>
      </c>
      <c r="P60" s="119" t="str">
        <f t="shared" si="11"/>
        <v/>
      </c>
      <c r="Q60" s="113" t="str">
        <f t="shared" si="12"/>
        <v/>
      </c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</row>
    <row r="61" spans="1:35" ht="15.75" thickBot="1">
      <c r="A61" s="2"/>
      <c r="B61" s="23"/>
      <c r="C61" s="23"/>
      <c r="D61" s="169" t="str">
        <f t="shared" si="4"/>
        <v/>
      </c>
      <c r="E61" s="173" t="str">
        <f t="shared" si="13"/>
        <v/>
      </c>
      <c r="F61" s="164" t="str">
        <f t="shared" si="5"/>
        <v/>
      </c>
      <c r="G61" s="165" t="str">
        <f t="shared" si="14"/>
        <v/>
      </c>
      <c r="H61" s="166" t="str">
        <f t="shared" si="15"/>
        <v/>
      </c>
      <c r="I61" s="166" t="str">
        <f t="shared" si="6"/>
        <v/>
      </c>
      <c r="J61" s="34" t="str">
        <f t="shared" si="16"/>
        <v/>
      </c>
      <c r="L61" s="120" t="str">
        <f t="shared" si="7"/>
        <v/>
      </c>
      <c r="M61" s="119" t="str">
        <f t="shared" si="8"/>
        <v/>
      </c>
      <c r="N61" s="167" t="str">
        <f t="shared" si="9"/>
        <v/>
      </c>
      <c r="O61" s="119" t="str">
        <f t="shared" si="10"/>
        <v/>
      </c>
      <c r="P61" s="119" t="str">
        <f t="shared" si="11"/>
        <v/>
      </c>
      <c r="Q61" s="113" t="str">
        <f t="shared" si="12"/>
        <v/>
      </c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</row>
    <row r="62" spans="1:35" ht="15.75" thickBot="1">
      <c r="A62" s="2"/>
      <c r="B62" s="23"/>
      <c r="C62" s="23"/>
      <c r="D62" s="169" t="str">
        <f t="shared" si="4"/>
        <v/>
      </c>
      <c r="E62" s="173" t="str">
        <f t="shared" si="13"/>
        <v/>
      </c>
      <c r="F62" s="164" t="str">
        <f t="shared" si="5"/>
        <v/>
      </c>
      <c r="G62" s="165" t="str">
        <f t="shared" si="14"/>
        <v/>
      </c>
      <c r="H62" s="166" t="str">
        <f t="shared" si="15"/>
        <v/>
      </c>
      <c r="I62" s="166" t="str">
        <f t="shared" si="6"/>
        <v/>
      </c>
      <c r="J62" s="34" t="str">
        <f t="shared" si="16"/>
        <v/>
      </c>
      <c r="L62" s="120" t="str">
        <f t="shared" si="7"/>
        <v/>
      </c>
      <c r="M62" s="119" t="str">
        <f t="shared" si="8"/>
        <v/>
      </c>
      <c r="N62" s="167" t="str">
        <f t="shared" si="9"/>
        <v/>
      </c>
      <c r="O62" s="119" t="str">
        <f t="shared" si="10"/>
        <v/>
      </c>
      <c r="P62" s="119" t="str">
        <f t="shared" si="11"/>
        <v/>
      </c>
      <c r="Q62" s="113" t="str">
        <f t="shared" si="12"/>
        <v/>
      </c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</row>
    <row r="63" spans="1:35" ht="15.75" thickBot="1">
      <c r="A63" s="2"/>
      <c r="B63" s="23"/>
      <c r="C63" s="23"/>
      <c r="D63" s="169" t="str">
        <f t="shared" si="4"/>
        <v/>
      </c>
      <c r="E63" s="173" t="str">
        <f t="shared" si="13"/>
        <v/>
      </c>
      <c r="F63" s="164" t="str">
        <f t="shared" si="5"/>
        <v/>
      </c>
      <c r="G63" s="165" t="str">
        <f t="shared" si="14"/>
        <v/>
      </c>
      <c r="H63" s="166" t="str">
        <f t="shared" si="15"/>
        <v/>
      </c>
      <c r="I63" s="166" t="str">
        <f t="shared" si="6"/>
        <v/>
      </c>
      <c r="J63" s="34" t="str">
        <f t="shared" si="16"/>
        <v/>
      </c>
      <c r="L63" s="120" t="str">
        <f t="shared" si="7"/>
        <v/>
      </c>
      <c r="M63" s="119" t="str">
        <f t="shared" si="8"/>
        <v/>
      </c>
      <c r="N63" s="167" t="str">
        <f t="shared" si="9"/>
        <v/>
      </c>
      <c r="O63" s="119" t="str">
        <f t="shared" si="10"/>
        <v/>
      </c>
      <c r="P63" s="119" t="str">
        <f t="shared" si="11"/>
        <v/>
      </c>
      <c r="Q63" s="113" t="str">
        <f t="shared" si="12"/>
        <v/>
      </c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</row>
    <row r="64" spans="1:35" ht="15.75" thickBot="1">
      <c r="A64" s="2"/>
      <c r="B64" s="23"/>
      <c r="C64" s="23"/>
      <c r="D64" s="169" t="str">
        <f t="shared" si="4"/>
        <v/>
      </c>
      <c r="E64" s="173" t="str">
        <f t="shared" si="13"/>
        <v/>
      </c>
      <c r="F64" s="164" t="str">
        <f t="shared" si="5"/>
        <v/>
      </c>
      <c r="G64" s="165" t="str">
        <f t="shared" si="14"/>
        <v/>
      </c>
      <c r="H64" s="166" t="str">
        <f t="shared" si="15"/>
        <v/>
      </c>
      <c r="I64" s="166" t="str">
        <f t="shared" si="6"/>
        <v/>
      </c>
      <c r="J64" s="34" t="str">
        <f t="shared" si="16"/>
        <v/>
      </c>
      <c r="L64" s="120" t="str">
        <f t="shared" si="7"/>
        <v/>
      </c>
      <c r="M64" s="119" t="str">
        <f t="shared" si="8"/>
        <v/>
      </c>
      <c r="N64" s="167" t="str">
        <f t="shared" si="9"/>
        <v/>
      </c>
      <c r="O64" s="119" t="str">
        <f t="shared" si="10"/>
        <v/>
      </c>
      <c r="P64" s="119" t="str">
        <f t="shared" si="11"/>
        <v/>
      </c>
      <c r="Q64" s="113" t="str">
        <f t="shared" si="12"/>
        <v/>
      </c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</row>
    <row r="65" spans="1:35" ht="15.75" thickBot="1">
      <c r="A65" s="2"/>
      <c r="B65" s="23"/>
      <c r="C65" s="23"/>
      <c r="D65" s="169" t="str">
        <f t="shared" si="4"/>
        <v/>
      </c>
      <c r="E65" s="173" t="str">
        <f t="shared" si="13"/>
        <v/>
      </c>
      <c r="F65" s="164" t="str">
        <f t="shared" si="5"/>
        <v/>
      </c>
      <c r="G65" s="165" t="str">
        <f t="shared" si="14"/>
        <v/>
      </c>
      <c r="H65" s="166" t="str">
        <f t="shared" si="15"/>
        <v/>
      </c>
      <c r="I65" s="166" t="str">
        <f t="shared" si="6"/>
        <v/>
      </c>
      <c r="J65" s="34" t="str">
        <f t="shared" si="16"/>
        <v/>
      </c>
      <c r="L65" s="120" t="str">
        <f t="shared" si="7"/>
        <v/>
      </c>
      <c r="M65" s="119" t="str">
        <f t="shared" si="8"/>
        <v/>
      </c>
      <c r="N65" s="167" t="str">
        <f t="shared" si="9"/>
        <v/>
      </c>
      <c r="O65" s="119" t="str">
        <f t="shared" si="10"/>
        <v/>
      </c>
      <c r="P65" s="119" t="str">
        <f t="shared" si="11"/>
        <v/>
      </c>
      <c r="Q65" s="113" t="str">
        <f t="shared" si="12"/>
        <v/>
      </c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</row>
    <row r="66" spans="1:35" ht="15.75" thickBot="1">
      <c r="A66" s="2"/>
      <c r="B66" s="23"/>
      <c r="C66" s="23"/>
      <c r="D66" s="169" t="str">
        <f t="shared" si="4"/>
        <v/>
      </c>
      <c r="E66" s="173" t="str">
        <f t="shared" si="13"/>
        <v/>
      </c>
      <c r="F66" s="164" t="str">
        <f t="shared" si="5"/>
        <v/>
      </c>
      <c r="G66" s="165" t="str">
        <f t="shared" si="14"/>
        <v/>
      </c>
      <c r="H66" s="166" t="str">
        <f t="shared" si="15"/>
        <v/>
      </c>
      <c r="I66" s="166" t="str">
        <f t="shared" si="6"/>
        <v/>
      </c>
      <c r="J66" s="34" t="str">
        <f t="shared" si="16"/>
        <v/>
      </c>
      <c r="L66" s="120" t="str">
        <f t="shared" si="7"/>
        <v/>
      </c>
      <c r="M66" s="119" t="str">
        <f t="shared" si="8"/>
        <v/>
      </c>
      <c r="N66" s="167" t="str">
        <f t="shared" si="9"/>
        <v/>
      </c>
      <c r="O66" s="119" t="str">
        <f t="shared" si="10"/>
        <v/>
      </c>
      <c r="P66" s="119" t="str">
        <f t="shared" si="11"/>
        <v/>
      </c>
      <c r="Q66" s="113" t="str">
        <f t="shared" si="12"/>
        <v/>
      </c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</row>
    <row r="67" spans="1:35" ht="15.75" thickBot="1">
      <c r="A67" s="2"/>
      <c r="B67" s="23"/>
      <c r="C67" s="23"/>
      <c r="D67" s="169" t="str">
        <f t="shared" si="4"/>
        <v/>
      </c>
      <c r="E67" s="173" t="str">
        <f t="shared" si="13"/>
        <v/>
      </c>
      <c r="F67" s="164" t="str">
        <f t="shared" si="5"/>
        <v/>
      </c>
      <c r="G67" s="165" t="str">
        <f t="shared" si="14"/>
        <v/>
      </c>
      <c r="H67" s="166" t="str">
        <f t="shared" si="15"/>
        <v/>
      </c>
      <c r="I67" s="166" t="str">
        <f t="shared" si="6"/>
        <v/>
      </c>
      <c r="J67" s="34" t="str">
        <f t="shared" si="16"/>
        <v/>
      </c>
      <c r="L67" s="120" t="str">
        <f t="shared" si="7"/>
        <v/>
      </c>
      <c r="M67" s="119" t="str">
        <f t="shared" si="8"/>
        <v/>
      </c>
      <c r="N67" s="167" t="str">
        <f t="shared" si="9"/>
        <v/>
      </c>
      <c r="O67" s="119" t="str">
        <f t="shared" si="10"/>
        <v/>
      </c>
      <c r="P67" s="119" t="str">
        <f t="shared" si="11"/>
        <v/>
      </c>
      <c r="Q67" s="113" t="str">
        <f t="shared" si="12"/>
        <v/>
      </c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</row>
    <row r="68" spans="1:35" ht="15.75" thickBot="1">
      <c r="A68" s="2"/>
      <c r="B68" s="23"/>
      <c r="C68" s="23"/>
      <c r="D68" s="169" t="str">
        <f t="shared" si="4"/>
        <v/>
      </c>
      <c r="E68" s="173" t="str">
        <f t="shared" si="13"/>
        <v/>
      </c>
      <c r="F68" s="164" t="str">
        <f t="shared" si="5"/>
        <v/>
      </c>
      <c r="G68" s="165" t="str">
        <f t="shared" si="14"/>
        <v/>
      </c>
      <c r="H68" s="166" t="str">
        <f t="shared" si="15"/>
        <v/>
      </c>
      <c r="I68" s="166" t="str">
        <f t="shared" si="6"/>
        <v/>
      </c>
      <c r="J68" s="34" t="str">
        <f t="shared" si="16"/>
        <v/>
      </c>
      <c r="L68" s="120" t="str">
        <f t="shared" si="7"/>
        <v/>
      </c>
      <c r="M68" s="119" t="str">
        <f t="shared" si="8"/>
        <v/>
      </c>
      <c r="N68" s="167" t="str">
        <f t="shared" si="9"/>
        <v/>
      </c>
      <c r="O68" s="119" t="str">
        <f t="shared" si="10"/>
        <v/>
      </c>
      <c r="P68" s="119" t="str">
        <f t="shared" si="11"/>
        <v/>
      </c>
      <c r="Q68" s="113" t="str">
        <f t="shared" si="12"/>
        <v/>
      </c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</row>
    <row r="69" spans="1:35" ht="15.75" thickBot="1">
      <c r="A69" s="2"/>
      <c r="B69" s="23"/>
      <c r="C69" s="23"/>
      <c r="D69" s="169" t="str">
        <f t="shared" si="4"/>
        <v/>
      </c>
      <c r="E69" s="173" t="str">
        <f t="shared" si="13"/>
        <v/>
      </c>
      <c r="F69" s="164" t="str">
        <f t="shared" si="5"/>
        <v/>
      </c>
      <c r="G69" s="165" t="str">
        <f t="shared" si="14"/>
        <v/>
      </c>
      <c r="H69" s="166" t="str">
        <f t="shared" si="15"/>
        <v/>
      </c>
      <c r="I69" s="166" t="str">
        <f t="shared" si="6"/>
        <v/>
      </c>
      <c r="J69" s="34" t="str">
        <f t="shared" si="16"/>
        <v/>
      </c>
      <c r="L69" s="120" t="str">
        <f t="shared" si="7"/>
        <v/>
      </c>
      <c r="M69" s="119" t="str">
        <f t="shared" si="8"/>
        <v/>
      </c>
      <c r="N69" s="167" t="str">
        <f t="shared" si="9"/>
        <v/>
      </c>
      <c r="O69" s="119" t="str">
        <f t="shared" si="10"/>
        <v/>
      </c>
      <c r="P69" s="119" t="str">
        <f t="shared" si="11"/>
        <v/>
      </c>
      <c r="Q69" s="113" t="str">
        <f t="shared" si="12"/>
        <v/>
      </c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</row>
    <row r="70" spans="1:35" ht="15.75" thickBot="1">
      <c r="A70" s="2"/>
      <c r="B70" s="23"/>
      <c r="C70" s="23"/>
      <c r="D70" s="169" t="str">
        <f t="shared" si="4"/>
        <v/>
      </c>
      <c r="E70" s="173" t="str">
        <f t="shared" si="13"/>
        <v/>
      </c>
      <c r="F70" s="164" t="str">
        <f t="shared" si="5"/>
        <v/>
      </c>
      <c r="G70" s="165" t="str">
        <f t="shared" si="14"/>
        <v/>
      </c>
      <c r="H70" s="166" t="str">
        <f t="shared" si="15"/>
        <v/>
      </c>
      <c r="I70" s="166" t="str">
        <f t="shared" si="6"/>
        <v/>
      </c>
      <c r="J70" s="34" t="str">
        <f t="shared" si="16"/>
        <v/>
      </c>
      <c r="L70" s="120" t="str">
        <f t="shared" si="7"/>
        <v/>
      </c>
      <c r="M70" s="119" t="str">
        <f t="shared" si="8"/>
        <v/>
      </c>
      <c r="N70" s="167" t="str">
        <f t="shared" si="9"/>
        <v/>
      </c>
      <c r="O70" s="119" t="str">
        <f t="shared" si="10"/>
        <v/>
      </c>
      <c r="P70" s="119" t="str">
        <f t="shared" si="11"/>
        <v/>
      </c>
      <c r="Q70" s="113" t="str">
        <f t="shared" si="12"/>
        <v/>
      </c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</row>
    <row r="71" spans="1:35" ht="15.75" thickBot="1">
      <c r="A71" s="2"/>
      <c r="B71" s="23"/>
      <c r="C71" s="23"/>
      <c r="D71" s="169" t="str">
        <f t="shared" si="4"/>
        <v/>
      </c>
      <c r="E71" s="173" t="str">
        <f t="shared" si="13"/>
        <v/>
      </c>
      <c r="F71" s="164" t="str">
        <f t="shared" si="5"/>
        <v/>
      </c>
      <c r="G71" s="165" t="str">
        <f t="shared" si="14"/>
        <v/>
      </c>
      <c r="H71" s="166" t="str">
        <f t="shared" si="15"/>
        <v/>
      </c>
      <c r="I71" s="166" t="str">
        <f t="shared" si="6"/>
        <v/>
      </c>
      <c r="J71" s="34" t="str">
        <f t="shared" si="16"/>
        <v/>
      </c>
      <c r="L71" s="120" t="str">
        <f t="shared" si="7"/>
        <v/>
      </c>
      <c r="M71" s="119" t="str">
        <f t="shared" si="8"/>
        <v/>
      </c>
      <c r="N71" s="167" t="str">
        <f t="shared" si="9"/>
        <v/>
      </c>
      <c r="O71" s="119" t="str">
        <f t="shared" si="10"/>
        <v/>
      </c>
      <c r="P71" s="119" t="str">
        <f t="shared" si="11"/>
        <v/>
      </c>
      <c r="Q71" s="113" t="str">
        <f t="shared" si="12"/>
        <v/>
      </c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</row>
    <row r="72" spans="1:35" ht="15.75" thickBot="1">
      <c r="A72" s="2"/>
      <c r="B72" s="23"/>
      <c r="C72" s="23"/>
      <c r="D72" s="169" t="str">
        <f t="shared" si="4"/>
        <v/>
      </c>
      <c r="E72" s="173" t="str">
        <f t="shared" si="13"/>
        <v/>
      </c>
      <c r="F72" s="164" t="str">
        <f t="shared" si="5"/>
        <v/>
      </c>
      <c r="G72" s="165" t="str">
        <f t="shared" si="14"/>
        <v/>
      </c>
      <c r="H72" s="166" t="str">
        <f t="shared" si="15"/>
        <v/>
      </c>
      <c r="I72" s="166" t="str">
        <f t="shared" si="6"/>
        <v/>
      </c>
      <c r="J72" s="34" t="str">
        <f t="shared" si="16"/>
        <v/>
      </c>
      <c r="L72" s="120" t="str">
        <f t="shared" si="7"/>
        <v/>
      </c>
      <c r="M72" s="119" t="str">
        <f t="shared" si="8"/>
        <v/>
      </c>
      <c r="N72" s="167" t="str">
        <f t="shared" si="9"/>
        <v/>
      </c>
      <c r="O72" s="119" t="str">
        <f t="shared" si="10"/>
        <v/>
      </c>
      <c r="P72" s="119" t="str">
        <f t="shared" si="11"/>
        <v/>
      </c>
      <c r="Q72" s="113" t="str">
        <f t="shared" si="12"/>
        <v/>
      </c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</row>
    <row r="73" spans="1:35" ht="15.75" thickBot="1">
      <c r="A73" s="2"/>
      <c r="B73" s="23"/>
      <c r="C73" s="23"/>
      <c r="D73" s="169" t="str">
        <f t="shared" si="4"/>
        <v/>
      </c>
      <c r="E73" s="173" t="str">
        <f t="shared" ref="E73:E104" si="17">IF(C73&gt;0,SQRT((G73*(1-G73))/C73),"")</f>
        <v/>
      </c>
      <c r="F73" s="164" t="str">
        <f t="shared" si="5"/>
        <v/>
      </c>
      <c r="G73" s="165" t="str">
        <f t="shared" ref="G73:G104" si="18">IF(C73&gt;0,AVERAGE($B$9:$B$116)/C73,"")</f>
        <v/>
      </c>
      <c r="H73" s="166" t="str">
        <f t="shared" ref="H73:H104" si="19">IF(C73&gt;0,G73+E73*3,"")</f>
        <v/>
      </c>
      <c r="I73" s="166" t="str">
        <f t="shared" si="6"/>
        <v/>
      </c>
      <c r="J73" s="34" t="str">
        <f t="shared" ref="J73:J104" si="20">IF(C73&gt;0,G73-E73*3,"")</f>
        <v/>
      </c>
      <c r="L73" s="120" t="str">
        <f t="shared" si="7"/>
        <v/>
      </c>
      <c r="M73" s="119" t="str">
        <f t="shared" si="8"/>
        <v/>
      </c>
      <c r="N73" s="167" t="str">
        <f t="shared" si="9"/>
        <v/>
      </c>
      <c r="O73" s="119" t="str">
        <f t="shared" si="10"/>
        <v/>
      </c>
      <c r="P73" s="119" t="str">
        <f t="shared" si="11"/>
        <v/>
      </c>
      <c r="Q73" s="113" t="str">
        <f t="shared" si="12"/>
        <v/>
      </c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</row>
    <row r="74" spans="1:35" ht="15.75" thickBot="1">
      <c r="A74" s="2"/>
      <c r="B74" s="23"/>
      <c r="C74" s="23"/>
      <c r="D74" s="169" t="str">
        <f t="shared" ref="D74:D116" si="21">IF(C74&lt;&gt;0,B74/C74,"")</f>
        <v/>
      </c>
      <c r="E74" s="173" t="str">
        <f t="shared" si="17"/>
        <v/>
      </c>
      <c r="F74" s="164" t="str">
        <f t="shared" ref="F74:F116" si="22">D74</f>
        <v/>
      </c>
      <c r="G74" s="165" t="str">
        <f t="shared" si="18"/>
        <v/>
      </c>
      <c r="H74" s="166" t="str">
        <f t="shared" si="19"/>
        <v/>
      </c>
      <c r="I74" s="166" t="str">
        <f t="shared" ref="I74:I116" si="23">IF(J74&lt;0,0,J74)</f>
        <v/>
      </c>
      <c r="J74" s="34" t="str">
        <f t="shared" si="20"/>
        <v/>
      </c>
      <c r="L74" s="120" t="str">
        <f t="shared" ref="L74:L116" si="24">IF(C74&gt;0,SQRT((N74*(1-N74))/($I$3)),"")</f>
        <v/>
      </c>
      <c r="M74" s="119" t="str">
        <f t="shared" ref="M74:M116" si="25">F74</f>
        <v/>
      </c>
      <c r="N74" s="167" t="str">
        <f t="shared" ref="N74:N116" si="26">IF(C74&gt;0,$I$2,"")</f>
        <v/>
      </c>
      <c r="O74" s="119" t="str">
        <f t="shared" ref="O74:O116" si="27">IF(C74&gt;0,N74+L74*3,"")</f>
        <v/>
      </c>
      <c r="P74" s="119" t="str">
        <f t="shared" ref="P74:P116" si="28">IF(Q74&lt;0,0,Q74)</f>
        <v/>
      </c>
      <c r="Q74" s="113" t="str">
        <f t="shared" ref="Q74:Q116" si="29">IF(C74&gt;0,N74-L74*3,"")</f>
        <v/>
      </c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</row>
    <row r="75" spans="1:35" ht="15.75" thickBot="1">
      <c r="A75" s="2"/>
      <c r="B75" s="23"/>
      <c r="C75" s="23"/>
      <c r="D75" s="169" t="str">
        <f t="shared" si="21"/>
        <v/>
      </c>
      <c r="E75" s="173" t="str">
        <f t="shared" si="17"/>
        <v/>
      </c>
      <c r="F75" s="164" t="str">
        <f t="shared" si="22"/>
        <v/>
      </c>
      <c r="G75" s="165" t="str">
        <f t="shared" si="18"/>
        <v/>
      </c>
      <c r="H75" s="166" t="str">
        <f t="shared" si="19"/>
        <v/>
      </c>
      <c r="I75" s="166" t="str">
        <f t="shared" si="23"/>
        <v/>
      </c>
      <c r="J75" s="34" t="str">
        <f t="shared" si="20"/>
        <v/>
      </c>
      <c r="L75" s="120" t="str">
        <f t="shared" si="24"/>
        <v/>
      </c>
      <c r="M75" s="119" t="str">
        <f t="shared" si="25"/>
        <v/>
      </c>
      <c r="N75" s="167" t="str">
        <f t="shared" si="26"/>
        <v/>
      </c>
      <c r="O75" s="119" t="str">
        <f t="shared" si="27"/>
        <v/>
      </c>
      <c r="P75" s="119" t="str">
        <f t="shared" si="28"/>
        <v/>
      </c>
      <c r="Q75" s="113" t="str">
        <f t="shared" si="29"/>
        <v/>
      </c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</row>
    <row r="76" spans="1:35" ht="15.75" thickBot="1">
      <c r="A76" s="2"/>
      <c r="B76" s="23"/>
      <c r="C76" s="23"/>
      <c r="D76" s="169" t="str">
        <f t="shared" si="21"/>
        <v/>
      </c>
      <c r="E76" s="173" t="str">
        <f t="shared" si="17"/>
        <v/>
      </c>
      <c r="F76" s="164" t="str">
        <f t="shared" si="22"/>
        <v/>
      </c>
      <c r="G76" s="165" t="str">
        <f t="shared" si="18"/>
        <v/>
      </c>
      <c r="H76" s="166" t="str">
        <f t="shared" si="19"/>
        <v/>
      </c>
      <c r="I76" s="166" t="str">
        <f t="shared" si="23"/>
        <v/>
      </c>
      <c r="J76" s="34" t="str">
        <f t="shared" si="20"/>
        <v/>
      </c>
      <c r="L76" s="120" t="str">
        <f t="shared" si="24"/>
        <v/>
      </c>
      <c r="M76" s="119" t="str">
        <f t="shared" si="25"/>
        <v/>
      </c>
      <c r="N76" s="167" t="str">
        <f t="shared" si="26"/>
        <v/>
      </c>
      <c r="O76" s="119" t="str">
        <f t="shared" si="27"/>
        <v/>
      </c>
      <c r="P76" s="119" t="str">
        <f t="shared" si="28"/>
        <v/>
      </c>
      <c r="Q76" s="113" t="str">
        <f t="shared" si="29"/>
        <v/>
      </c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</row>
    <row r="77" spans="1:35" ht="15.75" thickBot="1">
      <c r="A77" s="2"/>
      <c r="B77" s="23"/>
      <c r="C77" s="23"/>
      <c r="D77" s="169" t="str">
        <f t="shared" si="21"/>
        <v/>
      </c>
      <c r="E77" s="173" t="str">
        <f t="shared" si="17"/>
        <v/>
      </c>
      <c r="F77" s="164" t="str">
        <f t="shared" si="22"/>
        <v/>
      </c>
      <c r="G77" s="165" t="str">
        <f t="shared" si="18"/>
        <v/>
      </c>
      <c r="H77" s="166" t="str">
        <f t="shared" si="19"/>
        <v/>
      </c>
      <c r="I77" s="166" t="str">
        <f t="shared" si="23"/>
        <v/>
      </c>
      <c r="J77" s="34" t="str">
        <f t="shared" si="20"/>
        <v/>
      </c>
      <c r="L77" s="120" t="str">
        <f t="shared" si="24"/>
        <v/>
      </c>
      <c r="M77" s="119" t="str">
        <f t="shared" si="25"/>
        <v/>
      </c>
      <c r="N77" s="167" t="str">
        <f t="shared" si="26"/>
        <v/>
      </c>
      <c r="O77" s="119" t="str">
        <f t="shared" si="27"/>
        <v/>
      </c>
      <c r="P77" s="119" t="str">
        <f t="shared" si="28"/>
        <v/>
      </c>
      <c r="Q77" s="113" t="str">
        <f t="shared" si="29"/>
        <v/>
      </c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</row>
    <row r="78" spans="1:35" ht="15.75" thickBot="1">
      <c r="A78" s="2"/>
      <c r="B78" s="23"/>
      <c r="C78" s="23"/>
      <c r="D78" s="169" t="str">
        <f t="shared" si="21"/>
        <v/>
      </c>
      <c r="E78" s="173" t="str">
        <f t="shared" si="17"/>
        <v/>
      </c>
      <c r="F78" s="164" t="str">
        <f t="shared" si="22"/>
        <v/>
      </c>
      <c r="G78" s="165" t="str">
        <f t="shared" si="18"/>
        <v/>
      </c>
      <c r="H78" s="166" t="str">
        <f t="shared" si="19"/>
        <v/>
      </c>
      <c r="I78" s="166" t="str">
        <f t="shared" si="23"/>
        <v/>
      </c>
      <c r="J78" s="34" t="str">
        <f t="shared" si="20"/>
        <v/>
      </c>
      <c r="L78" s="120" t="str">
        <f t="shared" si="24"/>
        <v/>
      </c>
      <c r="M78" s="119" t="str">
        <f t="shared" si="25"/>
        <v/>
      </c>
      <c r="N78" s="167" t="str">
        <f t="shared" si="26"/>
        <v/>
      </c>
      <c r="O78" s="119" t="str">
        <f t="shared" si="27"/>
        <v/>
      </c>
      <c r="P78" s="119" t="str">
        <f t="shared" si="28"/>
        <v/>
      </c>
      <c r="Q78" s="113" t="str">
        <f t="shared" si="29"/>
        <v/>
      </c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</row>
    <row r="79" spans="1:35" ht="15.75" thickBot="1">
      <c r="A79" s="2"/>
      <c r="B79" s="23"/>
      <c r="C79" s="23"/>
      <c r="D79" s="169" t="str">
        <f t="shared" si="21"/>
        <v/>
      </c>
      <c r="E79" s="173" t="str">
        <f t="shared" si="17"/>
        <v/>
      </c>
      <c r="F79" s="164" t="str">
        <f t="shared" si="22"/>
        <v/>
      </c>
      <c r="G79" s="165" t="str">
        <f t="shared" si="18"/>
        <v/>
      </c>
      <c r="H79" s="166" t="str">
        <f t="shared" si="19"/>
        <v/>
      </c>
      <c r="I79" s="166" t="str">
        <f t="shared" si="23"/>
        <v/>
      </c>
      <c r="J79" s="34" t="str">
        <f t="shared" si="20"/>
        <v/>
      </c>
      <c r="L79" s="120" t="str">
        <f t="shared" si="24"/>
        <v/>
      </c>
      <c r="M79" s="119" t="str">
        <f t="shared" si="25"/>
        <v/>
      </c>
      <c r="N79" s="167" t="str">
        <f t="shared" si="26"/>
        <v/>
      </c>
      <c r="O79" s="119" t="str">
        <f t="shared" si="27"/>
        <v/>
      </c>
      <c r="P79" s="119" t="str">
        <f t="shared" si="28"/>
        <v/>
      </c>
      <c r="Q79" s="113" t="str">
        <f t="shared" si="29"/>
        <v/>
      </c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</row>
    <row r="80" spans="1:35" ht="15.75" thickBot="1">
      <c r="A80" s="2"/>
      <c r="B80" s="23"/>
      <c r="C80" s="23"/>
      <c r="D80" s="169" t="str">
        <f t="shared" si="21"/>
        <v/>
      </c>
      <c r="E80" s="173" t="str">
        <f t="shared" si="17"/>
        <v/>
      </c>
      <c r="F80" s="164" t="str">
        <f t="shared" si="22"/>
        <v/>
      </c>
      <c r="G80" s="165" t="str">
        <f t="shared" si="18"/>
        <v/>
      </c>
      <c r="H80" s="166" t="str">
        <f t="shared" si="19"/>
        <v/>
      </c>
      <c r="I80" s="166" t="str">
        <f t="shared" si="23"/>
        <v/>
      </c>
      <c r="J80" s="34" t="str">
        <f t="shared" si="20"/>
        <v/>
      </c>
      <c r="L80" s="120" t="str">
        <f t="shared" si="24"/>
        <v/>
      </c>
      <c r="M80" s="119" t="str">
        <f t="shared" si="25"/>
        <v/>
      </c>
      <c r="N80" s="167" t="str">
        <f t="shared" si="26"/>
        <v/>
      </c>
      <c r="O80" s="119" t="str">
        <f t="shared" si="27"/>
        <v/>
      </c>
      <c r="P80" s="119" t="str">
        <f t="shared" si="28"/>
        <v/>
      </c>
      <c r="Q80" s="113" t="str">
        <f t="shared" si="29"/>
        <v/>
      </c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</row>
    <row r="81" spans="1:35" ht="15.75" thickBot="1">
      <c r="A81" s="2"/>
      <c r="B81" s="23"/>
      <c r="C81" s="23"/>
      <c r="D81" s="169" t="str">
        <f t="shared" si="21"/>
        <v/>
      </c>
      <c r="E81" s="173" t="str">
        <f t="shared" si="17"/>
        <v/>
      </c>
      <c r="F81" s="164" t="str">
        <f t="shared" si="22"/>
        <v/>
      </c>
      <c r="G81" s="165" t="str">
        <f t="shared" si="18"/>
        <v/>
      </c>
      <c r="H81" s="166" t="str">
        <f t="shared" si="19"/>
        <v/>
      </c>
      <c r="I81" s="166" t="str">
        <f t="shared" si="23"/>
        <v/>
      </c>
      <c r="J81" s="34" t="str">
        <f t="shared" si="20"/>
        <v/>
      </c>
      <c r="L81" s="120" t="str">
        <f t="shared" si="24"/>
        <v/>
      </c>
      <c r="M81" s="119" t="str">
        <f t="shared" si="25"/>
        <v/>
      </c>
      <c r="N81" s="167" t="str">
        <f t="shared" si="26"/>
        <v/>
      </c>
      <c r="O81" s="119" t="str">
        <f t="shared" si="27"/>
        <v/>
      </c>
      <c r="P81" s="119" t="str">
        <f t="shared" si="28"/>
        <v/>
      </c>
      <c r="Q81" s="113" t="str">
        <f t="shared" si="29"/>
        <v/>
      </c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</row>
    <row r="82" spans="1:35" ht="15.75" thickBot="1">
      <c r="A82" s="2"/>
      <c r="B82" s="23"/>
      <c r="C82" s="23"/>
      <c r="D82" s="169" t="str">
        <f t="shared" si="21"/>
        <v/>
      </c>
      <c r="E82" s="173" t="str">
        <f t="shared" si="17"/>
        <v/>
      </c>
      <c r="F82" s="164" t="str">
        <f t="shared" si="22"/>
        <v/>
      </c>
      <c r="G82" s="165" t="str">
        <f t="shared" si="18"/>
        <v/>
      </c>
      <c r="H82" s="166" t="str">
        <f t="shared" si="19"/>
        <v/>
      </c>
      <c r="I82" s="166" t="str">
        <f t="shared" si="23"/>
        <v/>
      </c>
      <c r="J82" s="34" t="str">
        <f t="shared" si="20"/>
        <v/>
      </c>
      <c r="L82" s="120" t="str">
        <f t="shared" si="24"/>
        <v/>
      </c>
      <c r="M82" s="119" t="str">
        <f t="shared" si="25"/>
        <v/>
      </c>
      <c r="N82" s="167" t="str">
        <f t="shared" si="26"/>
        <v/>
      </c>
      <c r="O82" s="119" t="str">
        <f t="shared" si="27"/>
        <v/>
      </c>
      <c r="P82" s="119" t="str">
        <f t="shared" si="28"/>
        <v/>
      </c>
      <c r="Q82" s="113" t="str">
        <f t="shared" si="29"/>
        <v/>
      </c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</row>
    <row r="83" spans="1:35" ht="15.75" thickBot="1">
      <c r="A83" s="2"/>
      <c r="B83" s="23"/>
      <c r="C83" s="23"/>
      <c r="D83" s="169" t="str">
        <f t="shared" si="21"/>
        <v/>
      </c>
      <c r="E83" s="173" t="str">
        <f t="shared" si="17"/>
        <v/>
      </c>
      <c r="F83" s="164" t="str">
        <f t="shared" si="22"/>
        <v/>
      </c>
      <c r="G83" s="165" t="str">
        <f t="shared" si="18"/>
        <v/>
      </c>
      <c r="H83" s="166" t="str">
        <f t="shared" si="19"/>
        <v/>
      </c>
      <c r="I83" s="166" t="str">
        <f t="shared" si="23"/>
        <v/>
      </c>
      <c r="J83" s="34" t="str">
        <f t="shared" si="20"/>
        <v/>
      </c>
      <c r="L83" s="120" t="str">
        <f t="shared" si="24"/>
        <v/>
      </c>
      <c r="M83" s="119" t="str">
        <f t="shared" si="25"/>
        <v/>
      </c>
      <c r="N83" s="167" t="str">
        <f t="shared" si="26"/>
        <v/>
      </c>
      <c r="O83" s="119" t="str">
        <f t="shared" si="27"/>
        <v/>
      </c>
      <c r="P83" s="119" t="str">
        <f t="shared" si="28"/>
        <v/>
      </c>
      <c r="Q83" s="113" t="str">
        <f t="shared" si="29"/>
        <v/>
      </c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  <c r="AC83" s="84"/>
      <c r="AD83" s="84"/>
      <c r="AE83" s="84"/>
      <c r="AF83" s="84"/>
      <c r="AG83" s="84"/>
      <c r="AH83" s="84"/>
      <c r="AI83" s="84"/>
    </row>
    <row r="84" spans="1:35" ht="15.75" thickBot="1">
      <c r="A84" s="2"/>
      <c r="B84" s="23"/>
      <c r="C84" s="23"/>
      <c r="D84" s="169" t="str">
        <f t="shared" si="21"/>
        <v/>
      </c>
      <c r="E84" s="173" t="str">
        <f t="shared" si="17"/>
        <v/>
      </c>
      <c r="F84" s="164" t="str">
        <f t="shared" si="22"/>
        <v/>
      </c>
      <c r="G84" s="165" t="str">
        <f t="shared" si="18"/>
        <v/>
      </c>
      <c r="H84" s="166" t="str">
        <f t="shared" si="19"/>
        <v/>
      </c>
      <c r="I84" s="166" t="str">
        <f t="shared" si="23"/>
        <v/>
      </c>
      <c r="J84" s="34" t="str">
        <f t="shared" si="20"/>
        <v/>
      </c>
      <c r="L84" s="120" t="str">
        <f t="shared" si="24"/>
        <v/>
      </c>
      <c r="M84" s="119" t="str">
        <f t="shared" si="25"/>
        <v/>
      </c>
      <c r="N84" s="167" t="str">
        <f t="shared" si="26"/>
        <v/>
      </c>
      <c r="O84" s="119" t="str">
        <f t="shared" si="27"/>
        <v/>
      </c>
      <c r="P84" s="119" t="str">
        <f t="shared" si="28"/>
        <v/>
      </c>
      <c r="Q84" s="113" t="str">
        <f t="shared" si="29"/>
        <v/>
      </c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</row>
    <row r="85" spans="1:35" ht="15.75" thickBot="1">
      <c r="A85" s="2"/>
      <c r="B85" s="23"/>
      <c r="C85" s="23"/>
      <c r="D85" s="169" t="str">
        <f t="shared" si="21"/>
        <v/>
      </c>
      <c r="E85" s="173" t="str">
        <f t="shared" si="17"/>
        <v/>
      </c>
      <c r="F85" s="164" t="str">
        <f t="shared" si="22"/>
        <v/>
      </c>
      <c r="G85" s="165" t="str">
        <f t="shared" si="18"/>
        <v/>
      </c>
      <c r="H85" s="166" t="str">
        <f t="shared" si="19"/>
        <v/>
      </c>
      <c r="I85" s="166" t="str">
        <f t="shared" si="23"/>
        <v/>
      </c>
      <c r="J85" s="34" t="str">
        <f t="shared" si="20"/>
        <v/>
      </c>
      <c r="L85" s="120" t="str">
        <f t="shared" si="24"/>
        <v/>
      </c>
      <c r="M85" s="119" t="str">
        <f t="shared" si="25"/>
        <v/>
      </c>
      <c r="N85" s="167" t="str">
        <f t="shared" si="26"/>
        <v/>
      </c>
      <c r="O85" s="119" t="str">
        <f t="shared" si="27"/>
        <v/>
      </c>
      <c r="P85" s="119" t="str">
        <f t="shared" si="28"/>
        <v/>
      </c>
      <c r="Q85" s="113" t="str">
        <f t="shared" si="29"/>
        <v/>
      </c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</row>
    <row r="86" spans="1:35" ht="15.75" thickBot="1">
      <c r="A86" s="2"/>
      <c r="B86" s="23"/>
      <c r="C86" s="23"/>
      <c r="D86" s="169" t="str">
        <f t="shared" si="21"/>
        <v/>
      </c>
      <c r="E86" s="173" t="str">
        <f t="shared" si="17"/>
        <v/>
      </c>
      <c r="F86" s="164" t="str">
        <f t="shared" si="22"/>
        <v/>
      </c>
      <c r="G86" s="165" t="str">
        <f t="shared" si="18"/>
        <v/>
      </c>
      <c r="H86" s="166" t="str">
        <f t="shared" si="19"/>
        <v/>
      </c>
      <c r="I86" s="166" t="str">
        <f t="shared" si="23"/>
        <v/>
      </c>
      <c r="J86" s="34" t="str">
        <f t="shared" si="20"/>
        <v/>
      </c>
      <c r="L86" s="120" t="str">
        <f t="shared" si="24"/>
        <v/>
      </c>
      <c r="M86" s="119" t="str">
        <f t="shared" si="25"/>
        <v/>
      </c>
      <c r="N86" s="167" t="str">
        <f t="shared" si="26"/>
        <v/>
      </c>
      <c r="O86" s="119" t="str">
        <f t="shared" si="27"/>
        <v/>
      </c>
      <c r="P86" s="119" t="str">
        <f t="shared" si="28"/>
        <v/>
      </c>
      <c r="Q86" s="113" t="str">
        <f t="shared" si="29"/>
        <v/>
      </c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</row>
    <row r="87" spans="1:35" ht="15.75" thickBot="1">
      <c r="A87" s="2"/>
      <c r="B87" s="23"/>
      <c r="C87" s="23"/>
      <c r="D87" s="169" t="str">
        <f t="shared" si="21"/>
        <v/>
      </c>
      <c r="E87" s="173" t="str">
        <f t="shared" si="17"/>
        <v/>
      </c>
      <c r="F87" s="164" t="str">
        <f t="shared" si="22"/>
        <v/>
      </c>
      <c r="G87" s="165" t="str">
        <f t="shared" si="18"/>
        <v/>
      </c>
      <c r="H87" s="166" t="str">
        <f t="shared" si="19"/>
        <v/>
      </c>
      <c r="I87" s="166" t="str">
        <f t="shared" si="23"/>
        <v/>
      </c>
      <c r="J87" s="34" t="str">
        <f t="shared" si="20"/>
        <v/>
      </c>
      <c r="L87" s="120" t="str">
        <f t="shared" si="24"/>
        <v/>
      </c>
      <c r="M87" s="119" t="str">
        <f t="shared" si="25"/>
        <v/>
      </c>
      <c r="N87" s="167" t="str">
        <f t="shared" si="26"/>
        <v/>
      </c>
      <c r="O87" s="119" t="str">
        <f t="shared" si="27"/>
        <v/>
      </c>
      <c r="P87" s="119" t="str">
        <f t="shared" si="28"/>
        <v/>
      </c>
      <c r="Q87" s="113" t="str">
        <f t="shared" si="29"/>
        <v/>
      </c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</row>
    <row r="88" spans="1:35" ht="15.75" thickBot="1">
      <c r="A88" s="2"/>
      <c r="B88" s="23"/>
      <c r="C88" s="23"/>
      <c r="D88" s="169" t="str">
        <f t="shared" si="21"/>
        <v/>
      </c>
      <c r="E88" s="173" t="str">
        <f t="shared" si="17"/>
        <v/>
      </c>
      <c r="F88" s="164" t="str">
        <f t="shared" si="22"/>
        <v/>
      </c>
      <c r="G88" s="165" t="str">
        <f t="shared" si="18"/>
        <v/>
      </c>
      <c r="H88" s="166" t="str">
        <f t="shared" si="19"/>
        <v/>
      </c>
      <c r="I88" s="166" t="str">
        <f t="shared" si="23"/>
        <v/>
      </c>
      <c r="J88" s="34" t="str">
        <f t="shared" si="20"/>
        <v/>
      </c>
      <c r="L88" s="120" t="str">
        <f t="shared" si="24"/>
        <v/>
      </c>
      <c r="M88" s="119" t="str">
        <f t="shared" si="25"/>
        <v/>
      </c>
      <c r="N88" s="167" t="str">
        <f t="shared" si="26"/>
        <v/>
      </c>
      <c r="O88" s="119" t="str">
        <f t="shared" si="27"/>
        <v/>
      </c>
      <c r="P88" s="119" t="str">
        <f t="shared" si="28"/>
        <v/>
      </c>
      <c r="Q88" s="113" t="str">
        <f t="shared" si="29"/>
        <v/>
      </c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  <c r="AC88" s="84"/>
      <c r="AD88" s="84"/>
      <c r="AE88" s="84"/>
      <c r="AF88" s="84"/>
      <c r="AG88" s="84"/>
      <c r="AH88" s="84"/>
      <c r="AI88" s="84"/>
    </row>
    <row r="89" spans="1:35" ht="15.75" thickBot="1">
      <c r="A89" s="2"/>
      <c r="B89" s="23"/>
      <c r="C89" s="23"/>
      <c r="D89" s="169" t="str">
        <f t="shared" si="21"/>
        <v/>
      </c>
      <c r="E89" s="173" t="str">
        <f t="shared" si="17"/>
        <v/>
      </c>
      <c r="F89" s="164" t="str">
        <f t="shared" si="22"/>
        <v/>
      </c>
      <c r="G89" s="165" t="str">
        <f t="shared" si="18"/>
        <v/>
      </c>
      <c r="H89" s="166" t="str">
        <f t="shared" si="19"/>
        <v/>
      </c>
      <c r="I89" s="166" t="str">
        <f t="shared" si="23"/>
        <v/>
      </c>
      <c r="J89" s="34" t="str">
        <f t="shared" si="20"/>
        <v/>
      </c>
      <c r="L89" s="120" t="str">
        <f t="shared" si="24"/>
        <v/>
      </c>
      <c r="M89" s="119" t="str">
        <f t="shared" si="25"/>
        <v/>
      </c>
      <c r="N89" s="167" t="str">
        <f t="shared" si="26"/>
        <v/>
      </c>
      <c r="O89" s="119" t="str">
        <f t="shared" si="27"/>
        <v/>
      </c>
      <c r="P89" s="119" t="str">
        <f t="shared" si="28"/>
        <v/>
      </c>
      <c r="Q89" s="113" t="str">
        <f t="shared" si="29"/>
        <v/>
      </c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</row>
    <row r="90" spans="1:35" ht="15.75" thickBot="1">
      <c r="A90" s="2"/>
      <c r="B90" s="23"/>
      <c r="C90" s="23"/>
      <c r="D90" s="169" t="str">
        <f t="shared" si="21"/>
        <v/>
      </c>
      <c r="E90" s="173" t="str">
        <f t="shared" si="17"/>
        <v/>
      </c>
      <c r="F90" s="164" t="str">
        <f t="shared" si="22"/>
        <v/>
      </c>
      <c r="G90" s="165" t="str">
        <f t="shared" si="18"/>
        <v/>
      </c>
      <c r="H90" s="166" t="str">
        <f t="shared" si="19"/>
        <v/>
      </c>
      <c r="I90" s="166" t="str">
        <f t="shared" si="23"/>
        <v/>
      </c>
      <c r="J90" s="34" t="str">
        <f t="shared" si="20"/>
        <v/>
      </c>
      <c r="L90" s="120" t="str">
        <f t="shared" si="24"/>
        <v/>
      </c>
      <c r="M90" s="119" t="str">
        <f t="shared" si="25"/>
        <v/>
      </c>
      <c r="N90" s="167" t="str">
        <f t="shared" si="26"/>
        <v/>
      </c>
      <c r="O90" s="119" t="str">
        <f t="shared" si="27"/>
        <v/>
      </c>
      <c r="P90" s="119" t="str">
        <f t="shared" si="28"/>
        <v/>
      </c>
      <c r="Q90" s="113" t="str">
        <f t="shared" si="29"/>
        <v/>
      </c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</row>
    <row r="91" spans="1:35" ht="15.75" thickBot="1">
      <c r="A91" s="2"/>
      <c r="B91" s="23"/>
      <c r="C91" s="23"/>
      <c r="D91" s="169" t="str">
        <f t="shared" si="21"/>
        <v/>
      </c>
      <c r="E91" s="173" t="str">
        <f t="shared" si="17"/>
        <v/>
      </c>
      <c r="F91" s="164" t="str">
        <f t="shared" si="22"/>
        <v/>
      </c>
      <c r="G91" s="165" t="str">
        <f t="shared" si="18"/>
        <v/>
      </c>
      <c r="H91" s="166" t="str">
        <f t="shared" si="19"/>
        <v/>
      </c>
      <c r="I91" s="166" t="str">
        <f t="shared" si="23"/>
        <v/>
      </c>
      <c r="J91" s="34" t="str">
        <f t="shared" si="20"/>
        <v/>
      </c>
      <c r="L91" s="120" t="str">
        <f t="shared" si="24"/>
        <v/>
      </c>
      <c r="M91" s="119" t="str">
        <f t="shared" si="25"/>
        <v/>
      </c>
      <c r="N91" s="167" t="str">
        <f t="shared" si="26"/>
        <v/>
      </c>
      <c r="O91" s="119" t="str">
        <f t="shared" si="27"/>
        <v/>
      </c>
      <c r="P91" s="119" t="str">
        <f t="shared" si="28"/>
        <v/>
      </c>
      <c r="Q91" s="113" t="str">
        <f t="shared" si="29"/>
        <v/>
      </c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</row>
    <row r="92" spans="1:35" ht="15.75" thickBot="1">
      <c r="A92" s="2"/>
      <c r="B92" s="23"/>
      <c r="C92" s="23"/>
      <c r="D92" s="169" t="str">
        <f t="shared" si="21"/>
        <v/>
      </c>
      <c r="E92" s="173" t="str">
        <f t="shared" si="17"/>
        <v/>
      </c>
      <c r="F92" s="164" t="str">
        <f t="shared" si="22"/>
        <v/>
      </c>
      <c r="G92" s="165" t="str">
        <f t="shared" si="18"/>
        <v/>
      </c>
      <c r="H92" s="166" t="str">
        <f t="shared" si="19"/>
        <v/>
      </c>
      <c r="I92" s="166" t="str">
        <f t="shared" si="23"/>
        <v/>
      </c>
      <c r="J92" s="34" t="str">
        <f t="shared" si="20"/>
        <v/>
      </c>
      <c r="L92" s="120" t="str">
        <f t="shared" si="24"/>
        <v/>
      </c>
      <c r="M92" s="119" t="str">
        <f t="shared" si="25"/>
        <v/>
      </c>
      <c r="N92" s="167" t="str">
        <f t="shared" si="26"/>
        <v/>
      </c>
      <c r="O92" s="119" t="str">
        <f t="shared" si="27"/>
        <v/>
      </c>
      <c r="P92" s="119" t="str">
        <f t="shared" si="28"/>
        <v/>
      </c>
      <c r="Q92" s="113" t="str">
        <f t="shared" si="29"/>
        <v/>
      </c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</row>
    <row r="93" spans="1:35" ht="15.75" thickBot="1">
      <c r="A93" s="2"/>
      <c r="B93" s="23"/>
      <c r="C93" s="23"/>
      <c r="D93" s="169" t="str">
        <f t="shared" si="21"/>
        <v/>
      </c>
      <c r="E93" s="173" t="str">
        <f t="shared" si="17"/>
        <v/>
      </c>
      <c r="F93" s="164" t="str">
        <f t="shared" si="22"/>
        <v/>
      </c>
      <c r="G93" s="165" t="str">
        <f t="shared" si="18"/>
        <v/>
      </c>
      <c r="H93" s="166" t="str">
        <f t="shared" si="19"/>
        <v/>
      </c>
      <c r="I93" s="166" t="str">
        <f t="shared" si="23"/>
        <v/>
      </c>
      <c r="J93" s="34" t="str">
        <f t="shared" si="20"/>
        <v/>
      </c>
      <c r="L93" s="120" t="str">
        <f t="shared" si="24"/>
        <v/>
      </c>
      <c r="M93" s="119" t="str">
        <f t="shared" si="25"/>
        <v/>
      </c>
      <c r="N93" s="167" t="str">
        <f t="shared" si="26"/>
        <v/>
      </c>
      <c r="O93" s="119" t="str">
        <f t="shared" si="27"/>
        <v/>
      </c>
      <c r="P93" s="119" t="str">
        <f t="shared" si="28"/>
        <v/>
      </c>
      <c r="Q93" s="113" t="str">
        <f t="shared" si="29"/>
        <v/>
      </c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</row>
    <row r="94" spans="1:35" ht="15.75" thickBot="1">
      <c r="A94" s="2"/>
      <c r="B94" s="23"/>
      <c r="C94" s="23"/>
      <c r="D94" s="169" t="str">
        <f t="shared" si="21"/>
        <v/>
      </c>
      <c r="E94" s="173" t="str">
        <f t="shared" si="17"/>
        <v/>
      </c>
      <c r="F94" s="164" t="str">
        <f t="shared" si="22"/>
        <v/>
      </c>
      <c r="G94" s="165" t="str">
        <f t="shared" si="18"/>
        <v/>
      </c>
      <c r="H94" s="166" t="str">
        <f t="shared" si="19"/>
        <v/>
      </c>
      <c r="I94" s="166" t="str">
        <f t="shared" si="23"/>
        <v/>
      </c>
      <c r="J94" s="34" t="str">
        <f t="shared" si="20"/>
        <v/>
      </c>
      <c r="L94" s="120" t="str">
        <f t="shared" si="24"/>
        <v/>
      </c>
      <c r="M94" s="119" t="str">
        <f t="shared" si="25"/>
        <v/>
      </c>
      <c r="N94" s="167" t="str">
        <f t="shared" si="26"/>
        <v/>
      </c>
      <c r="O94" s="119" t="str">
        <f t="shared" si="27"/>
        <v/>
      </c>
      <c r="P94" s="119" t="str">
        <f t="shared" si="28"/>
        <v/>
      </c>
      <c r="Q94" s="113" t="str">
        <f t="shared" si="29"/>
        <v/>
      </c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4"/>
    </row>
    <row r="95" spans="1:35" ht="15.75" thickBot="1">
      <c r="A95" s="2"/>
      <c r="B95" s="23"/>
      <c r="C95" s="23"/>
      <c r="D95" s="169" t="str">
        <f t="shared" si="21"/>
        <v/>
      </c>
      <c r="E95" s="173" t="str">
        <f t="shared" si="17"/>
        <v/>
      </c>
      <c r="F95" s="164" t="str">
        <f t="shared" si="22"/>
        <v/>
      </c>
      <c r="G95" s="165" t="str">
        <f t="shared" si="18"/>
        <v/>
      </c>
      <c r="H95" s="166" t="str">
        <f t="shared" si="19"/>
        <v/>
      </c>
      <c r="I95" s="166" t="str">
        <f t="shared" si="23"/>
        <v/>
      </c>
      <c r="J95" s="34" t="str">
        <f t="shared" si="20"/>
        <v/>
      </c>
      <c r="L95" s="120" t="str">
        <f t="shared" si="24"/>
        <v/>
      </c>
      <c r="M95" s="119" t="str">
        <f t="shared" si="25"/>
        <v/>
      </c>
      <c r="N95" s="167" t="str">
        <f t="shared" si="26"/>
        <v/>
      </c>
      <c r="O95" s="119" t="str">
        <f t="shared" si="27"/>
        <v/>
      </c>
      <c r="P95" s="119" t="str">
        <f t="shared" si="28"/>
        <v/>
      </c>
      <c r="Q95" s="113" t="str">
        <f t="shared" si="29"/>
        <v/>
      </c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</row>
    <row r="96" spans="1:35" ht="15.75" thickBot="1">
      <c r="A96" s="2"/>
      <c r="B96" s="23"/>
      <c r="C96" s="23"/>
      <c r="D96" s="169" t="str">
        <f t="shared" si="21"/>
        <v/>
      </c>
      <c r="E96" s="173" t="str">
        <f t="shared" si="17"/>
        <v/>
      </c>
      <c r="F96" s="164" t="str">
        <f t="shared" si="22"/>
        <v/>
      </c>
      <c r="G96" s="165" t="str">
        <f t="shared" si="18"/>
        <v/>
      </c>
      <c r="H96" s="166" t="str">
        <f t="shared" si="19"/>
        <v/>
      </c>
      <c r="I96" s="166" t="str">
        <f t="shared" si="23"/>
        <v/>
      </c>
      <c r="J96" s="34" t="str">
        <f t="shared" si="20"/>
        <v/>
      </c>
      <c r="L96" s="120" t="str">
        <f t="shared" si="24"/>
        <v/>
      </c>
      <c r="M96" s="119" t="str">
        <f t="shared" si="25"/>
        <v/>
      </c>
      <c r="N96" s="167" t="str">
        <f t="shared" si="26"/>
        <v/>
      </c>
      <c r="O96" s="119" t="str">
        <f t="shared" si="27"/>
        <v/>
      </c>
      <c r="P96" s="119" t="str">
        <f t="shared" si="28"/>
        <v/>
      </c>
      <c r="Q96" s="113" t="str">
        <f t="shared" si="29"/>
        <v/>
      </c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</row>
    <row r="97" spans="1:35" ht="15.75" thickBot="1">
      <c r="A97" s="2"/>
      <c r="B97" s="23"/>
      <c r="C97" s="23"/>
      <c r="D97" s="169" t="str">
        <f t="shared" si="21"/>
        <v/>
      </c>
      <c r="E97" s="173" t="str">
        <f t="shared" si="17"/>
        <v/>
      </c>
      <c r="F97" s="164" t="str">
        <f t="shared" si="22"/>
        <v/>
      </c>
      <c r="G97" s="165" t="str">
        <f t="shared" si="18"/>
        <v/>
      </c>
      <c r="H97" s="166" t="str">
        <f t="shared" si="19"/>
        <v/>
      </c>
      <c r="I97" s="166" t="str">
        <f t="shared" si="23"/>
        <v/>
      </c>
      <c r="J97" s="34" t="str">
        <f t="shared" si="20"/>
        <v/>
      </c>
      <c r="L97" s="120" t="str">
        <f t="shared" si="24"/>
        <v/>
      </c>
      <c r="M97" s="119" t="str">
        <f t="shared" si="25"/>
        <v/>
      </c>
      <c r="N97" s="167" t="str">
        <f t="shared" si="26"/>
        <v/>
      </c>
      <c r="O97" s="119" t="str">
        <f t="shared" si="27"/>
        <v/>
      </c>
      <c r="P97" s="119" t="str">
        <f t="shared" si="28"/>
        <v/>
      </c>
      <c r="Q97" s="113" t="str">
        <f t="shared" si="29"/>
        <v/>
      </c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</row>
    <row r="98" spans="1:35" ht="15.75" thickBot="1">
      <c r="A98" s="2"/>
      <c r="B98" s="23"/>
      <c r="C98" s="23"/>
      <c r="D98" s="169" t="str">
        <f t="shared" si="21"/>
        <v/>
      </c>
      <c r="E98" s="173" t="str">
        <f t="shared" si="17"/>
        <v/>
      </c>
      <c r="F98" s="164" t="str">
        <f t="shared" si="22"/>
        <v/>
      </c>
      <c r="G98" s="165" t="str">
        <f t="shared" si="18"/>
        <v/>
      </c>
      <c r="H98" s="166" t="str">
        <f t="shared" si="19"/>
        <v/>
      </c>
      <c r="I98" s="166" t="str">
        <f t="shared" si="23"/>
        <v/>
      </c>
      <c r="J98" s="34" t="str">
        <f t="shared" si="20"/>
        <v/>
      </c>
      <c r="L98" s="120" t="str">
        <f t="shared" si="24"/>
        <v/>
      </c>
      <c r="M98" s="119" t="str">
        <f t="shared" si="25"/>
        <v/>
      </c>
      <c r="N98" s="167" t="str">
        <f t="shared" si="26"/>
        <v/>
      </c>
      <c r="O98" s="119" t="str">
        <f t="shared" si="27"/>
        <v/>
      </c>
      <c r="P98" s="119" t="str">
        <f t="shared" si="28"/>
        <v/>
      </c>
      <c r="Q98" s="113" t="str">
        <f t="shared" si="29"/>
        <v/>
      </c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</row>
    <row r="99" spans="1:35" ht="15.75" thickBot="1">
      <c r="A99" s="2"/>
      <c r="B99" s="23"/>
      <c r="C99" s="23"/>
      <c r="D99" s="169" t="str">
        <f t="shared" si="21"/>
        <v/>
      </c>
      <c r="E99" s="173" t="str">
        <f t="shared" si="17"/>
        <v/>
      </c>
      <c r="F99" s="164" t="str">
        <f t="shared" si="22"/>
        <v/>
      </c>
      <c r="G99" s="165" t="str">
        <f t="shared" si="18"/>
        <v/>
      </c>
      <c r="H99" s="166" t="str">
        <f t="shared" si="19"/>
        <v/>
      </c>
      <c r="I99" s="166" t="str">
        <f t="shared" si="23"/>
        <v/>
      </c>
      <c r="J99" s="34" t="str">
        <f t="shared" si="20"/>
        <v/>
      </c>
      <c r="L99" s="120" t="str">
        <f t="shared" si="24"/>
        <v/>
      </c>
      <c r="M99" s="119" t="str">
        <f t="shared" si="25"/>
        <v/>
      </c>
      <c r="N99" s="167" t="str">
        <f t="shared" si="26"/>
        <v/>
      </c>
      <c r="O99" s="119" t="str">
        <f t="shared" si="27"/>
        <v/>
      </c>
      <c r="P99" s="119" t="str">
        <f t="shared" si="28"/>
        <v/>
      </c>
      <c r="Q99" s="113" t="str">
        <f t="shared" si="29"/>
        <v/>
      </c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</row>
    <row r="100" spans="1:35" ht="15.75" thickBot="1">
      <c r="A100" s="2"/>
      <c r="B100" s="23"/>
      <c r="C100" s="23"/>
      <c r="D100" s="169" t="str">
        <f t="shared" si="21"/>
        <v/>
      </c>
      <c r="E100" s="173" t="str">
        <f t="shared" si="17"/>
        <v/>
      </c>
      <c r="F100" s="164" t="str">
        <f t="shared" si="22"/>
        <v/>
      </c>
      <c r="G100" s="165" t="str">
        <f t="shared" si="18"/>
        <v/>
      </c>
      <c r="H100" s="166" t="str">
        <f t="shared" si="19"/>
        <v/>
      </c>
      <c r="I100" s="166" t="str">
        <f t="shared" si="23"/>
        <v/>
      </c>
      <c r="J100" s="34" t="str">
        <f t="shared" si="20"/>
        <v/>
      </c>
      <c r="L100" s="120" t="str">
        <f t="shared" si="24"/>
        <v/>
      </c>
      <c r="M100" s="119" t="str">
        <f t="shared" si="25"/>
        <v/>
      </c>
      <c r="N100" s="167" t="str">
        <f t="shared" si="26"/>
        <v/>
      </c>
      <c r="O100" s="119" t="str">
        <f t="shared" si="27"/>
        <v/>
      </c>
      <c r="P100" s="119" t="str">
        <f t="shared" si="28"/>
        <v/>
      </c>
      <c r="Q100" s="113" t="str">
        <f t="shared" si="29"/>
        <v/>
      </c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4"/>
    </row>
    <row r="101" spans="1:35" ht="15.75" thickBot="1">
      <c r="A101" s="2"/>
      <c r="B101" s="23"/>
      <c r="C101" s="23"/>
      <c r="D101" s="169" t="str">
        <f t="shared" si="21"/>
        <v/>
      </c>
      <c r="E101" s="173" t="str">
        <f t="shared" si="17"/>
        <v/>
      </c>
      <c r="F101" s="164" t="str">
        <f t="shared" si="22"/>
        <v/>
      </c>
      <c r="G101" s="165" t="str">
        <f t="shared" si="18"/>
        <v/>
      </c>
      <c r="H101" s="166" t="str">
        <f t="shared" si="19"/>
        <v/>
      </c>
      <c r="I101" s="166" t="str">
        <f t="shared" si="23"/>
        <v/>
      </c>
      <c r="J101" s="34" t="str">
        <f t="shared" si="20"/>
        <v/>
      </c>
      <c r="L101" s="120" t="str">
        <f t="shared" si="24"/>
        <v/>
      </c>
      <c r="M101" s="119" t="str">
        <f t="shared" si="25"/>
        <v/>
      </c>
      <c r="N101" s="167" t="str">
        <f t="shared" si="26"/>
        <v/>
      </c>
      <c r="O101" s="119" t="str">
        <f t="shared" si="27"/>
        <v/>
      </c>
      <c r="P101" s="119" t="str">
        <f t="shared" si="28"/>
        <v/>
      </c>
      <c r="Q101" s="113" t="str">
        <f t="shared" si="29"/>
        <v/>
      </c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</row>
    <row r="102" spans="1:35" ht="15.75" thickBot="1">
      <c r="A102" s="2"/>
      <c r="B102" s="23"/>
      <c r="C102" s="23"/>
      <c r="D102" s="169" t="str">
        <f t="shared" si="21"/>
        <v/>
      </c>
      <c r="E102" s="173" t="str">
        <f t="shared" si="17"/>
        <v/>
      </c>
      <c r="F102" s="164" t="str">
        <f t="shared" si="22"/>
        <v/>
      </c>
      <c r="G102" s="165" t="str">
        <f t="shared" si="18"/>
        <v/>
      </c>
      <c r="H102" s="166" t="str">
        <f t="shared" si="19"/>
        <v/>
      </c>
      <c r="I102" s="166" t="str">
        <f t="shared" si="23"/>
        <v/>
      </c>
      <c r="J102" s="34" t="str">
        <f t="shared" si="20"/>
        <v/>
      </c>
      <c r="L102" s="120" t="str">
        <f t="shared" si="24"/>
        <v/>
      </c>
      <c r="M102" s="119" t="str">
        <f t="shared" si="25"/>
        <v/>
      </c>
      <c r="N102" s="167" t="str">
        <f t="shared" si="26"/>
        <v/>
      </c>
      <c r="O102" s="119" t="str">
        <f t="shared" si="27"/>
        <v/>
      </c>
      <c r="P102" s="119" t="str">
        <f t="shared" si="28"/>
        <v/>
      </c>
      <c r="Q102" s="113" t="str">
        <f t="shared" si="29"/>
        <v/>
      </c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</row>
    <row r="103" spans="1:35" ht="15.75" thickBot="1">
      <c r="A103" s="2"/>
      <c r="B103" s="23"/>
      <c r="C103" s="23"/>
      <c r="D103" s="169" t="str">
        <f t="shared" si="21"/>
        <v/>
      </c>
      <c r="E103" s="173" t="str">
        <f t="shared" si="17"/>
        <v/>
      </c>
      <c r="F103" s="164" t="str">
        <f t="shared" si="22"/>
        <v/>
      </c>
      <c r="G103" s="165" t="str">
        <f t="shared" si="18"/>
        <v/>
      </c>
      <c r="H103" s="166" t="str">
        <f t="shared" si="19"/>
        <v/>
      </c>
      <c r="I103" s="166" t="str">
        <f t="shared" si="23"/>
        <v/>
      </c>
      <c r="J103" s="34" t="str">
        <f t="shared" si="20"/>
        <v/>
      </c>
      <c r="L103" s="120" t="str">
        <f t="shared" si="24"/>
        <v/>
      </c>
      <c r="M103" s="119" t="str">
        <f t="shared" si="25"/>
        <v/>
      </c>
      <c r="N103" s="167" t="str">
        <f t="shared" si="26"/>
        <v/>
      </c>
      <c r="O103" s="119" t="str">
        <f t="shared" si="27"/>
        <v/>
      </c>
      <c r="P103" s="119" t="str">
        <f t="shared" si="28"/>
        <v/>
      </c>
      <c r="Q103" s="113" t="str">
        <f t="shared" si="29"/>
        <v/>
      </c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</row>
    <row r="104" spans="1:35" ht="15.75" thickBot="1">
      <c r="A104" s="2"/>
      <c r="B104" s="23"/>
      <c r="C104" s="23"/>
      <c r="D104" s="169" t="str">
        <f t="shared" si="21"/>
        <v/>
      </c>
      <c r="E104" s="173" t="str">
        <f t="shared" si="17"/>
        <v/>
      </c>
      <c r="F104" s="164" t="str">
        <f t="shared" si="22"/>
        <v/>
      </c>
      <c r="G104" s="165" t="str">
        <f t="shared" si="18"/>
        <v/>
      </c>
      <c r="H104" s="166" t="str">
        <f t="shared" si="19"/>
        <v/>
      </c>
      <c r="I104" s="166" t="str">
        <f t="shared" si="23"/>
        <v/>
      </c>
      <c r="J104" s="34" t="str">
        <f t="shared" si="20"/>
        <v/>
      </c>
      <c r="L104" s="120" t="str">
        <f t="shared" si="24"/>
        <v/>
      </c>
      <c r="M104" s="119" t="str">
        <f t="shared" si="25"/>
        <v/>
      </c>
      <c r="N104" s="167" t="str">
        <f t="shared" si="26"/>
        <v/>
      </c>
      <c r="O104" s="119" t="str">
        <f t="shared" si="27"/>
        <v/>
      </c>
      <c r="P104" s="119" t="str">
        <f t="shared" si="28"/>
        <v/>
      </c>
      <c r="Q104" s="113" t="str">
        <f t="shared" si="29"/>
        <v/>
      </c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</row>
    <row r="105" spans="1:35" ht="15.75" thickBot="1">
      <c r="A105" s="2"/>
      <c r="B105" s="24"/>
      <c r="C105" s="24"/>
      <c r="D105" s="169" t="str">
        <f t="shared" si="21"/>
        <v/>
      </c>
      <c r="E105" s="173" t="str">
        <f t="shared" ref="E105:E116" si="30">IF(C105&gt;0,SQRT((G105*(1-G105))/C105),"")</f>
        <v/>
      </c>
      <c r="F105" s="164" t="str">
        <f t="shared" si="22"/>
        <v/>
      </c>
      <c r="G105" s="165" t="str">
        <f t="shared" ref="G105:G116" si="31">IF(C105&gt;0,AVERAGE($B$9:$B$116)/C105,"")</f>
        <v/>
      </c>
      <c r="H105" s="166" t="str">
        <f t="shared" ref="H105:H116" si="32">IF(C105&gt;0,G105+E105*3,"")</f>
        <v/>
      </c>
      <c r="I105" s="166" t="str">
        <f t="shared" si="23"/>
        <v/>
      </c>
      <c r="J105" s="34" t="str">
        <f t="shared" ref="J105:J116" si="33">IF(C105&gt;0,G105-E105*3,"")</f>
        <v/>
      </c>
      <c r="L105" s="120" t="str">
        <f t="shared" si="24"/>
        <v/>
      </c>
      <c r="M105" s="119" t="str">
        <f t="shared" si="25"/>
        <v/>
      </c>
      <c r="N105" s="167" t="str">
        <f t="shared" si="26"/>
        <v/>
      </c>
      <c r="O105" s="119" t="str">
        <f t="shared" si="27"/>
        <v/>
      </c>
      <c r="P105" s="119" t="str">
        <f t="shared" si="28"/>
        <v/>
      </c>
      <c r="Q105" s="113" t="str">
        <f t="shared" si="29"/>
        <v/>
      </c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</row>
    <row r="106" spans="1:35" ht="15.75" thickBot="1">
      <c r="A106" s="2"/>
      <c r="B106" s="24"/>
      <c r="C106" s="24"/>
      <c r="D106" s="169" t="str">
        <f t="shared" si="21"/>
        <v/>
      </c>
      <c r="E106" s="173" t="str">
        <f t="shared" si="30"/>
        <v/>
      </c>
      <c r="F106" s="164" t="str">
        <f t="shared" si="22"/>
        <v/>
      </c>
      <c r="G106" s="165" t="str">
        <f t="shared" si="31"/>
        <v/>
      </c>
      <c r="H106" s="166" t="str">
        <f t="shared" si="32"/>
        <v/>
      </c>
      <c r="I106" s="166" t="str">
        <f t="shared" si="23"/>
        <v/>
      </c>
      <c r="J106" s="34" t="str">
        <f t="shared" si="33"/>
        <v/>
      </c>
      <c r="L106" s="120" t="str">
        <f t="shared" si="24"/>
        <v/>
      </c>
      <c r="M106" s="119" t="str">
        <f t="shared" si="25"/>
        <v/>
      </c>
      <c r="N106" s="167" t="str">
        <f t="shared" si="26"/>
        <v/>
      </c>
      <c r="O106" s="119" t="str">
        <f t="shared" si="27"/>
        <v/>
      </c>
      <c r="P106" s="119" t="str">
        <f t="shared" si="28"/>
        <v/>
      </c>
      <c r="Q106" s="113" t="str">
        <f t="shared" si="29"/>
        <v/>
      </c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</row>
    <row r="107" spans="1:35" ht="15.75" thickBot="1">
      <c r="A107" s="2"/>
      <c r="B107" s="24"/>
      <c r="C107" s="24"/>
      <c r="D107" s="169" t="str">
        <f t="shared" si="21"/>
        <v/>
      </c>
      <c r="E107" s="173" t="str">
        <f t="shared" si="30"/>
        <v/>
      </c>
      <c r="F107" s="164" t="str">
        <f t="shared" si="22"/>
        <v/>
      </c>
      <c r="G107" s="165" t="str">
        <f t="shared" si="31"/>
        <v/>
      </c>
      <c r="H107" s="166" t="str">
        <f t="shared" si="32"/>
        <v/>
      </c>
      <c r="I107" s="166" t="str">
        <f t="shared" si="23"/>
        <v/>
      </c>
      <c r="J107" s="34" t="str">
        <f t="shared" si="33"/>
        <v/>
      </c>
      <c r="L107" s="120" t="str">
        <f t="shared" si="24"/>
        <v/>
      </c>
      <c r="M107" s="119" t="str">
        <f t="shared" si="25"/>
        <v/>
      </c>
      <c r="N107" s="167" t="str">
        <f t="shared" si="26"/>
        <v/>
      </c>
      <c r="O107" s="119" t="str">
        <f t="shared" si="27"/>
        <v/>
      </c>
      <c r="P107" s="119" t="str">
        <f t="shared" si="28"/>
        <v/>
      </c>
      <c r="Q107" s="113" t="str">
        <f t="shared" si="29"/>
        <v/>
      </c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</row>
    <row r="108" spans="1:35" ht="15.75" thickBot="1">
      <c r="A108" s="2"/>
      <c r="B108" s="24"/>
      <c r="C108" s="24"/>
      <c r="D108" s="169" t="str">
        <f t="shared" si="21"/>
        <v/>
      </c>
      <c r="E108" s="173" t="str">
        <f t="shared" si="30"/>
        <v/>
      </c>
      <c r="F108" s="164" t="str">
        <f t="shared" si="22"/>
        <v/>
      </c>
      <c r="G108" s="165" t="str">
        <f t="shared" si="31"/>
        <v/>
      </c>
      <c r="H108" s="166" t="str">
        <f t="shared" si="32"/>
        <v/>
      </c>
      <c r="I108" s="166" t="str">
        <f t="shared" si="23"/>
        <v/>
      </c>
      <c r="J108" s="34" t="str">
        <f t="shared" si="33"/>
        <v/>
      </c>
      <c r="L108" s="120" t="str">
        <f t="shared" si="24"/>
        <v/>
      </c>
      <c r="M108" s="119" t="str">
        <f>F108</f>
        <v/>
      </c>
      <c r="N108" s="167" t="str">
        <f t="shared" si="26"/>
        <v/>
      </c>
      <c r="O108" s="119" t="str">
        <f t="shared" si="27"/>
        <v/>
      </c>
      <c r="P108" s="119" t="str">
        <f t="shared" si="28"/>
        <v/>
      </c>
      <c r="Q108" s="113" t="str">
        <f t="shared" si="29"/>
        <v/>
      </c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  <c r="AC108" s="84"/>
      <c r="AD108" s="84"/>
      <c r="AE108" s="84"/>
      <c r="AF108" s="84"/>
      <c r="AG108" s="84"/>
      <c r="AH108" s="84"/>
      <c r="AI108" s="84"/>
    </row>
    <row r="109" spans="1:35" ht="15.75" thickBot="1">
      <c r="A109" s="2"/>
      <c r="B109" s="24"/>
      <c r="C109" s="24"/>
      <c r="D109" s="169" t="str">
        <f t="shared" si="21"/>
        <v/>
      </c>
      <c r="E109" s="173" t="str">
        <f t="shared" si="30"/>
        <v/>
      </c>
      <c r="F109" s="164" t="str">
        <f t="shared" si="22"/>
        <v/>
      </c>
      <c r="G109" s="165" t="str">
        <f t="shared" si="31"/>
        <v/>
      </c>
      <c r="H109" s="166" t="str">
        <f t="shared" si="32"/>
        <v/>
      </c>
      <c r="I109" s="166" t="str">
        <f t="shared" si="23"/>
        <v/>
      </c>
      <c r="J109" s="34" t="str">
        <f t="shared" si="33"/>
        <v/>
      </c>
      <c r="L109" s="120" t="str">
        <f t="shared" si="24"/>
        <v/>
      </c>
      <c r="M109" s="119" t="str">
        <f t="shared" si="25"/>
        <v/>
      </c>
      <c r="N109" s="167" t="str">
        <f t="shared" si="26"/>
        <v/>
      </c>
      <c r="O109" s="119" t="str">
        <f t="shared" si="27"/>
        <v/>
      </c>
      <c r="P109" s="119" t="str">
        <f t="shared" si="28"/>
        <v/>
      </c>
      <c r="Q109" s="113" t="str">
        <f t="shared" si="29"/>
        <v/>
      </c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  <c r="AC109" s="84"/>
      <c r="AD109" s="84"/>
      <c r="AE109" s="84"/>
      <c r="AF109" s="84"/>
      <c r="AG109" s="84"/>
      <c r="AH109" s="84"/>
      <c r="AI109" s="84"/>
    </row>
    <row r="110" spans="1:35" ht="15.75" thickBot="1">
      <c r="A110" s="2"/>
      <c r="B110" s="24"/>
      <c r="C110" s="24"/>
      <c r="D110" s="169" t="str">
        <f t="shared" si="21"/>
        <v/>
      </c>
      <c r="E110" s="173" t="str">
        <f t="shared" si="30"/>
        <v/>
      </c>
      <c r="F110" s="164" t="str">
        <f t="shared" si="22"/>
        <v/>
      </c>
      <c r="G110" s="165" t="str">
        <f t="shared" si="31"/>
        <v/>
      </c>
      <c r="H110" s="166" t="str">
        <f t="shared" si="32"/>
        <v/>
      </c>
      <c r="I110" s="166" t="str">
        <f t="shared" si="23"/>
        <v/>
      </c>
      <c r="J110" s="34" t="str">
        <f t="shared" si="33"/>
        <v/>
      </c>
      <c r="L110" s="120" t="str">
        <f t="shared" si="24"/>
        <v/>
      </c>
      <c r="M110" s="119" t="str">
        <f t="shared" si="25"/>
        <v/>
      </c>
      <c r="N110" s="167" t="str">
        <f t="shared" si="26"/>
        <v/>
      </c>
      <c r="O110" s="119" t="str">
        <f t="shared" si="27"/>
        <v/>
      </c>
      <c r="P110" s="119" t="str">
        <f t="shared" si="28"/>
        <v/>
      </c>
      <c r="Q110" s="113" t="str">
        <f t="shared" si="29"/>
        <v/>
      </c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4"/>
      <c r="AF110" s="84"/>
      <c r="AG110" s="84"/>
      <c r="AH110" s="84"/>
      <c r="AI110" s="84"/>
    </row>
    <row r="111" spans="1:35" ht="15.75" thickBot="1">
      <c r="A111" s="2"/>
      <c r="B111" s="24"/>
      <c r="C111" s="24"/>
      <c r="D111" s="169" t="str">
        <f t="shared" si="21"/>
        <v/>
      </c>
      <c r="E111" s="173" t="str">
        <f t="shared" si="30"/>
        <v/>
      </c>
      <c r="F111" s="164" t="str">
        <f t="shared" si="22"/>
        <v/>
      </c>
      <c r="G111" s="165" t="str">
        <f t="shared" si="31"/>
        <v/>
      </c>
      <c r="H111" s="166" t="str">
        <f t="shared" si="32"/>
        <v/>
      </c>
      <c r="I111" s="166" t="str">
        <f t="shared" si="23"/>
        <v/>
      </c>
      <c r="J111" s="34" t="str">
        <f t="shared" si="33"/>
        <v/>
      </c>
      <c r="L111" s="120" t="str">
        <f t="shared" si="24"/>
        <v/>
      </c>
      <c r="M111" s="119" t="str">
        <f t="shared" si="25"/>
        <v/>
      </c>
      <c r="N111" s="167" t="str">
        <f t="shared" si="26"/>
        <v/>
      </c>
      <c r="O111" s="119" t="str">
        <f t="shared" si="27"/>
        <v/>
      </c>
      <c r="P111" s="119" t="str">
        <f t="shared" si="28"/>
        <v/>
      </c>
      <c r="Q111" s="113" t="str">
        <f t="shared" si="29"/>
        <v/>
      </c>
      <c r="R111" s="84"/>
      <c r="S111" s="84"/>
      <c r="T111" s="84"/>
      <c r="U111" s="84"/>
      <c r="V111" s="84"/>
      <c r="W111" s="84"/>
      <c r="X111" s="84"/>
      <c r="Y111" s="84"/>
      <c r="Z111" s="84"/>
      <c r="AA111" s="84"/>
      <c r="AB111" s="84"/>
      <c r="AC111" s="84"/>
      <c r="AD111" s="84"/>
      <c r="AE111" s="84"/>
      <c r="AF111" s="84"/>
      <c r="AG111" s="84"/>
      <c r="AH111" s="84"/>
      <c r="AI111" s="84"/>
    </row>
    <row r="112" spans="1:35" ht="15.75" thickBot="1">
      <c r="A112" s="2"/>
      <c r="B112" s="24"/>
      <c r="C112" s="24"/>
      <c r="D112" s="169" t="str">
        <f t="shared" si="21"/>
        <v/>
      </c>
      <c r="E112" s="173" t="str">
        <f t="shared" si="30"/>
        <v/>
      </c>
      <c r="F112" s="164" t="str">
        <f t="shared" si="22"/>
        <v/>
      </c>
      <c r="G112" s="165" t="str">
        <f t="shared" si="31"/>
        <v/>
      </c>
      <c r="H112" s="166" t="str">
        <f t="shared" si="32"/>
        <v/>
      </c>
      <c r="I112" s="166" t="str">
        <f t="shared" si="23"/>
        <v/>
      </c>
      <c r="J112" s="34" t="str">
        <f t="shared" si="33"/>
        <v/>
      </c>
      <c r="L112" s="120" t="str">
        <f t="shared" si="24"/>
        <v/>
      </c>
      <c r="M112" s="119" t="str">
        <f t="shared" si="25"/>
        <v/>
      </c>
      <c r="N112" s="167" t="str">
        <f t="shared" si="26"/>
        <v/>
      </c>
      <c r="O112" s="119" t="str">
        <f t="shared" si="27"/>
        <v/>
      </c>
      <c r="P112" s="119" t="str">
        <f t="shared" si="28"/>
        <v/>
      </c>
      <c r="Q112" s="113" t="str">
        <f t="shared" si="29"/>
        <v/>
      </c>
      <c r="R112" s="84"/>
      <c r="S112" s="84"/>
      <c r="T112" s="84"/>
      <c r="U112" s="84"/>
      <c r="V112" s="84"/>
      <c r="W112" s="84"/>
      <c r="X112" s="84"/>
      <c r="Y112" s="84"/>
      <c r="Z112" s="84"/>
      <c r="AA112" s="84"/>
      <c r="AB112" s="84"/>
      <c r="AC112" s="84"/>
      <c r="AD112" s="84"/>
      <c r="AE112" s="84"/>
      <c r="AF112" s="84"/>
      <c r="AG112" s="84"/>
      <c r="AH112" s="84"/>
      <c r="AI112" s="84"/>
    </row>
    <row r="113" spans="1:35" ht="15.75" thickBot="1">
      <c r="A113" s="2"/>
      <c r="B113" s="24"/>
      <c r="C113" s="24"/>
      <c r="D113" s="169" t="str">
        <f t="shared" si="21"/>
        <v/>
      </c>
      <c r="E113" s="173" t="str">
        <f t="shared" si="30"/>
        <v/>
      </c>
      <c r="F113" s="164" t="str">
        <f t="shared" si="22"/>
        <v/>
      </c>
      <c r="G113" s="165" t="str">
        <f t="shared" si="31"/>
        <v/>
      </c>
      <c r="H113" s="166" t="str">
        <f t="shared" si="32"/>
        <v/>
      </c>
      <c r="I113" s="166" t="str">
        <f t="shared" si="23"/>
        <v/>
      </c>
      <c r="J113" s="34" t="str">
        <f t="shared" si="33"/>
        <v/>
      </c>
      <c r="L113" s="120" t="str">
        <f t="shared" si="24"/>
        <v/>
      </c>
      <c r="M113" s="119" t="str">
        <f t="shared" si="25"/>
        <v/>
      </c>
      <c r="N113" s="167" t="str">
        <f t="shared" si="26"/>
        <v/>
      </c>
      <c r="O113" s="119" t="str">
        <f t="shared" si="27"/>
        <v/>
      </c>
      <c r="P113" s="119" t="str">
        <f t="shared" si="28"/>
        <v/>
      </c>
      <c r="Q113" s="113" t="str">
        <f t="shared" si="29"/>
        <v/>
      </c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/>
      <c r="AG113" s="84"/>
      <c r="AH113" s="84"/>
      <c r="AI113" s="84"/>
    </row>
    <row r="114" spans="1:35" ht="15.75" thickBot="1">
      <c r="A114" s="2"/>
      <c r="B114" s="24"/>
      <c r="C114" s="24"/>
      <c r="D114" s="169" t="str">
        <f t="shared" si="21"/>
        <v/>
      </c>
      <c r="E114" s="173" t="str">
        <f t="shared" si="30"/>
        <v/>
      </c>
      <c r="F114" s="164" t="str">
        <f t="shared" si="22"/>
        <v/>
      </c>
      <c r="G114" s="165" t="str">
        <f t="shared" si="31"/>
        <v/>
      </c>
      <c r="H114" s="166" t="str">
        <f t="shared" si="32"/>
        <v/>
      </c>
      <c r="I114" s="166" t="str">
        <f t="shared" si="23"/>
        <v/>
      </c>
      <c r="J114" s="34" t="str">
        <f t="shared" si="33"/>
        <v/>
      </c>
      <c r="L114" s="120" t="str">
        <f t="shared" si="24"/>
        <v/>
      </c>
      <c r="M114" s="119" t="str">
        <f t="shared" si="25"/>
        <v/>
      </c>
      <c r="N114" s="167" t="str">
        <f t="shared" si="26"/>
        <v/>
      </c>
      <c r="O114" s="119" t="str">
        <f t="shared" si="27"/>
        <v/>
      </c>
      <c r="P114" s="119" t="str">
        <f t="shared" si="28"/>
        <v/>
      </c>
      <c r="Q114" s="113" t="str">
        <f t="shared" si="29"/>
        <v/>
      </c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4"/>
      <c r="AF114" s="84"/>
      <c r="AG114" s="84"/>
      <c r="AH114" s="84"/>
      <c r="AI114" s="84"/>
    </row>
    <row r="115" spans="1:35" ht="15.75" thickBot="1">
      <c r="A115" s="2"/>
      <c r="B115" s="24"/>
      <c r="C115" s="24"/>
      <c r="D115" s="169" t="str">
        <f t="shared" si="21"/>
        <v/>
      </c>
      <c r="E115" s="173" t="str">
        <f t="shared" si="30"/>
        <v/>
      </c>
      <c r="F115" s="164" t="str">
        <f t="shared" si="22"/>
        <v/>
      </c>
      <c r="G115" s="165" t="str">
        <f t="shared" si="31"/>
        <v/>
      </c>
      <c r="H115" s="166" t="str">
        <f t="shared" si="32"/>
        <v/>
      </c>
      <c r="I115" s="166" t="str">
        <f t="shared" si="23"/>
        <v/>
      </c>
      <c r="J115" s="34" t="str">
        <f t="shared" si="33"/>
        <v/>
      </c>
      <c r="L115" s="120" t="str">
        <f t="shared" si="24"/>
        <v/>
      </c>
      <c r="M115" s="119" t="str">
        <f t="shared" si="25"/>
        <v/>
      </c>
      <c r="N115" s="167" t="str">
        <f t="shared" si="26"/>
        <v/>
      </c>
      <c r="O115" s="119" t="str">
        <f t="shared" si="27"/>
        <v/>
      </c>
      <c r="P115" s="119" t="str">
        <f t="shared" si="28"/>
        <v/>
      </c>
      <c r="Q115" s="113" t="str">
        <f t="shared" si="29"/>
        <v/>
      </c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  <c r="AH115" s="84"/>
      <c r="AI115" s="84"/>
    </row>
    <row r="116" spans="1:35" ht="15.75" thickBot="1">
      <c r="A116" s="2"/>
      <c r="B116" s="24"/>
      <c r="C116" s="24"/>
      <c r="D116" s="169" t="str">
        <f t="shared" si="21"/>
        <v/>
      </c>
      <c r="E116" s="173" t="str">
        <f t="shared" si="30"/>
        <v/>
      </c>
      <c r="F116" s="164" t="str">
        <f t="shared" si="22"/>
        <v/>
      </c>
      <c r="G116" s="165" t="str">
        <f t="shared" si="31"/>
        <v/>
      </c>
      <c r="H116" s="166" t="str">
        <f t="shared" si="32"/>
        <v/>
      </c>
      <c r="I116" s="166" t="str">
        <f t="shared" si="23"/>
        <v/>
      </c>
      <c r="J116" s="34" t="str">
        <f t="shared" si="33"/>
        <v/>
      </c>
      <c r="L116" s="120" t="str">
        <f t="shared" si="24"/>
        <v/>
      </c>
      <c r="M116" s="119" t="str">
        <f t="shared" si="25"/>
        <v/>
      </c>
      <c r="N116" s="167" t="str">
        <f t="shared" si="26"/>
        <v/>
      </c>
      <c r="O116" s="119" t="str">
        <f t="shared" si="27"/>
        <v/>
      </c>
      <c r="P116" s="119" t="str">
        <f t="shared" si="28"/>
        <v/>
      </c>
      <c r="Q116" s="113" t="str">
        <f t="shared" si="29"/>
        <v/>
      </c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/>
      <c r="AG116" s="84"/>
      <c r="AH116" s="84"/>
      <c r="AI116" s="84"/>
    </row>
    <row r="117" spans="1:35">
      <c r="A117" s="84"/>
      <c r="B117" s="84"/>
      <c r="C117" s="84"/>
      <c r="D117" s="84"/>
      <c r="G117" s="84"/>
      <c r="H117" s="84"/>
      <c r="J117" s="84"/>
      <c r="M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84"/>
      <c r="AD117" s="84"/>
      <c r="AE117" s="84"/>
      <c r="AF117" s="84"/>
      <c r="AG117" s="84"/>
      <c r="AH117" s="84"/>
      <c r="AI117" s="84"/>
    </row>
    <row r="118" spans="1:35">
      <c r="A118" s="84"/>
      <c r="B118" s="84"/>
      <c r="C118" s="84"/>
      <c r="D118" s="84"/>
      <c r="G118" s="84"/>
      <c r="H118" s="84"/>
      <c r="J118" s="84"/>
      <c r="M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</row>
    <row r="119" spans="1:35">
      <c r="A119" s="84"/>
      <c r="B119" s="84"/>
      <c r="C119" s="84"/>
      <c r="D119" s="84"/>
      <c r="G119" s="84"/>
      <c r="H119" s="84"/>
      <c r="J119" s="84"/>
      <c r="M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/>
      <c r="AG119" s="84"/>
      <c r="AH119" s="84"/>
      <c r="AI119" s="84"/>
    </row>
    <row r="120" spans="1:35">
      <c r="A120" s="84"/>
      <c r="B120" s="84"/>
      <c r="C120" s="84"/>
      <c r="D120" s="84"/>
      <c r="G120" s="84"/>
      <c r="H120" s="84"/>
      <c r="J120" s="84"/>
      <c r="M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</row>
  </sheetData>
  <mergeCells count="12">
    <mergeCell ref="T8:U8"/>
    <mergeCell ref="W8:X8"/>
    <mergeCell ref="AA8:AB8"/>
    <mergeCell ref="AD8:AE8"/>
    <mergeCell ref="B7:D7"/>
    <mergeCell ref="G3:H3"/>
    <mergeCell ref="L7:Q7"/>
    <mergeCell ref="G2:H2"/>
    <mergeCell ref="V3:AC3"/>
    <mergeCell ref="S6:Y6"/>
    <mergeCell ref="Z6:AF6"/>
    <mergeCell ref="E7:J7"/>
  </mergeCells>
  <conditionalFormatting sqref="D9:D116">
    <cfRule type="expression" dxfId="13" priority="7">
      <formula>D9&gt;H9</formula>
    </cfRule>
  </conditionalFormatting>
  <conditionalFormatting sqref="G9:G116">
    <cfRule type="expression" dxfId="12" priority="10">
      <formula>G9&lt;J9</formula>
    </cfRule>
    <cfRule type="expression" dxfId="11" priority="11">
      <formula>G9&gt;H9</formula>
    </cfRule>
  </conditionalFormatting>
  <hyperlinks>
    <hyperlink ref="B2" location="INICIO!A1" display="INICIO" xr:uid="{00000000-0004-0000-0600-000000000000}"/>
    <hyperlink ref="B3" location="'GRÁFICO I'!A1" display="ATRÁS" xr:uid="{00000000-0004-0000-0600-000001000000}"/>
    <hyperlink ref="AI2" location="INICIO!A1" display="INICIO" xr:uid="{00000000-0004-0000-0600-000002000000}"/>
    <hyperlink ref="B4" location="'GRÁFICO P (N CAMBIANTE)'!A1" display="SIGUIENTE" xr:uid="{00000000-0004-0000-0600-000003000000}"/>
    <hyperlink ref="B5" location="RESULTADOSP" display="RESULTADOS" xr:uid="{00000000-0004-0000-0600-000004000000}"/>
    <hyperlink ref="AI3" location="'GRÁFICO I'!A1" display="ATRÁS" xr:uid="{00000000-0004-0000-0600-000005000000}"/>
    <hyperlink ref="AI4" location="'GRÁFICO P (N CAMBIANTE)'!A1" display="SIGUIENTE" xr:uid="{00000000-0004-0000-0600-000006000000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rgb="FF99FF66"/>
  </sheetPr>
  <dimension ref="A1:BP147"/>
  <sheetViews>
    <sheetView zoomScale="130" zoomScaleNormal="130" workbookViewId="0">
      <selection activeCell="G28" sqref="G28"/>
    </sheetView>
  </sheetViews>
  <sheetFormatPr baseColWidth="10" defaultRowHeight="15"/>
  <cols>
    <col min="2" max="2" width="15.140625" customWidth="1"/>
    <col min="3" max="3" width="23.5703125" bestFit="1" customWidth="1"/>
    <col min="4" max="4" width="35.85546875" bestFit="1" customWidth="1"/>
    <col min="6" max="6" width="36.140625" bestFit="1" customWidth="1"/>
    <col min="7" max="7" width="11.28515625" customWidth="1"/>
    <col min="8" max="8" width="28" customWidth="1"/>
    <col min="13" max="13" width="22.42578125" customWidth="1"/>
    <col min="21" max="21" width="16.28515625" customWidth="1"/>
    <col min="24" max="24" width="14.7109375" customWidth="1"/>
    <col min="28" max="28" width="12.42578125" customWidth="1"/>
    <col min="31" max="31" width="14.42578125" customWidth="1"/>
    <col min="35" max="35" width="13.28515625" bestFit="1" customWidth="1"/>
    <col min="2000" max="2000" width="2.7109375" customWidth="1"/>
  </cols>
  <sheetData>
    <row r="1" spans="1:68" ht="15.75" thickBot="1">
      <c r="A1" s="84"/>
      <c r="B1" s="84"/>
      <c r="C1" s="84"/>
      <c r="D1" s="84"/>
      <c r="E1" s="84"/>
      <c r="F1" s="84"/>
      <c r="G1" s="4"/>
      <c r="H1" s="4"/>
      <c r="I1" s="4"/>
      <c r="J1" s="4"/>
      <c r="K1" s="4"/>
      <c r="L1" s="4"/>
      <c r="M1" s="84"/>
      <c r="N1" s="84"/>
      <c r="O1" s="58"/>
      <c r="P1" s="84"/>
      <c r="Q1" s="84"/>
      <c r="R1" s="84"/>
      <c r="S1" s="57"/>
      <c r="T1" s="57"/>
      <c r="U1" s="57"/>
      <c r="V1" s="57"/>
      <c r="W1" s="93"/>
      <c r="X1" s="93"/>
      <c r="Y1" s="93"/>
      <c r="Z1" s="93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57"/>
      <c r="AL1" s="57"/>
      <c r="AM1" s="57"/>
      <c r="AN1" s="57"/>
      <c r="AO1" s="93"/>
      <c r="AP1" s="93"/>
      <c r="AQ1" s="93"/>
      <c r="AR1" s="93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  <c r="BP1" s="84"/>
    </row>
    <row r="2" spans="1:68" ht="19.5" thickBot="1">
      <c r="A2" s="84"/>
      <c r="B2" s="43" t="s">
        <v>27</v>
      </c>
      <c r="C2" s="84"/>
      <c r="D2" s="84"/>
      <c r="E2" s="84"/>
      <c r="F2" s="84"/>
      <c r="J2" s="4"/>
      <c r="K2" s="107"/>
      <c r="L2" s="247" t="s">
        <v>64</v>
      </c>
      <c r="M2" s="248"/>
      <c r="N2" s="97">
        <f>AVERAGE(B9:B116)/N3</f>
        <v>0.14327772325809618</v>
      </c>
      <c r="O2" s="58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43" t="s">
        <v>27</v>
      </c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4"/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</row>
    <row r="3" spans="1:68" ht="21.75" thickBot="1">
      <c r="A3" s="84"/>
      <c r="B3" s="128" t="s">
        <v>29</v>
      </c>
      <c r="C3" s="84"/>
      <c r="D3" s="84"/>
      <c r="E3" s="84"/>
      <c r="F3" s="84"/>
      <c r="J3" s="4"/>
      <c r="K3" s="107"/>
      <c r="L3" s="275" t="s">
        <v>65</v>
      </c>
      <c r="M3" s="275"/>
      <c r="N3" s="108">
        <f>AVERAGE(C9:C116)</f>
        <v>132.91304347826087</v>
      </c>
      <c r="O3" s="58"/>
      <c r="P3" s="84"/>
      <c r="Q3" s="84"/>
      <c r="R3" s="58"/>
      <c r="S3" s="58"/>
      <c r="T3" s="84"/>
      <c r="U3" s="58"/>
      <c r="V3" s="249" t="s">
        <v>30</v>
      </c>
      <c r="W3" s="250"/>
      <c r="X3" s="250"/>
      <c r="Y3" s="250"/>
      <c r="Z3" s="250"/>
      <c r="AA3" s="250"/>
      <c r="AB3" s="250"/>
      <c r="AC3" s="251"/>
      <c r="AD3" s="84"/>
      <c r="AE3" s="84"/>
      <c r="AF3" s="84"/>
      <c r="AG3" s="84"/>
      <c r="AH3" s="84"/>
      <c r="AI3" s="128" t="s">
        <v>29</v>
      </c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U3" s="84"/>
      <c r="AV3" s="84"/>
      <c r="AW3" s="84"/>
      <c r="AX3" s="84"/>
      <c r="AY3" s="84"/>
      <c r="AZ3" s="84"/>
      <c r="BA3" s="84"/>
      <c r="BB3" s="84"/>
      <c r="BC3" s="84"/>
      <c r="BD3" s="84"/>
      <c r="BE3" s="84"/>
      <c r="BF3" s="84"/>
      <c r="BG3" s="84"/>
      <c r="BH3" s="84"/>
      <c r="BI3" s="84"/>
      <c r="BJ3" s="84"/>
      <c r="BK3" s="84"/>
      <c r="BL3" s="84"/>
      <c r="BM3" s="84"/>
      <c r="BN3" s="84"/>
      <c r="BO3" s="84"/>
      <c r="BP3" s="84"/>
    </row>
    <row r="4" spans="1:68" ht="19.5" thickBot="1">
      <c r="A4" s="84"/>
      <c r="B4" s="102" t="s">
        <v>28</v>
      </c>
      <c r="C4" s="84"/>
      <c r="D4" s="84"/>
      <c r="E4" s="107"/>
      <c r="F4" s="107"/>
      <c r="G4" s="107"/>
      <c r="H4" s="107"/>
      <c r="I4" s="107"/>
      <c r="J4" s="4"/>
      <c r="K4" s="107"/>
      <c r="L4" s="107"/>
      <c r="M4" s="84"/>
      <c r="N4" s="84"/>
      <c r="O4" s="58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102" t="s">
        <v>28</v>
      </c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4"/>
      <c r="BK4" s="84"/>
      <c r="BL4" s="84"/>
      <c r="BM4" s="84"/>
      <c r="BN4" s="84"/>
      <c r="BO4" s="84"/>
      <c r="BP4" s="84"/>
    </row>
    <row r="5" spans="1:68" ht="19.5" thickBot="1">
      <c r="A5" s="84"/>
      <c r="B5" s="129" t="s">
        <v>30</v>
      </c>
      <c r="C5" s="84"/>
      <c r="D5" s="84"/>
      <c r="E5" s="107"/>
      <c r="F5" s="107"/>
      <c r="G5" s="107"/>
      <c r="H5" s="107"/>
      <c r="I5" s="107"/>
      <c r="J5" s="107"/>
      <c r="K5" s="107"/>
      <c r="L5" s="107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84"/>
      <c r="AV5" s="84"/>
      <c r="AW5" s="84"/>
      <c r="AX5" s="84"/>
      <c r="AY5" s="84"/>
      <c r="AZ5" s="84"/>
      <c r="BA5" s="84"/>
      <c r="BB5" s="84"/>
      <c r="BC5" s="84"/>
      <c r="BD5" s="84"/>
      <c r="BE5" s="84"/>
      <c r="BF5" s="84"/>
      <c r="BG5" s="84"/>
      <c r="BH5" s="84"/>
      <c r="BI5" s="84"/>
      <c r="BJ5" s="84"/>
      <c r="BK5" s="84"/>
      <c r="BL5" s="84"/>
      <c r="BM5" s="84"/>
      <c r="BN5" s="84"/>
      <c r="BO5" s="84"/>
      <c r="BP5" s="84"/>
    </row>
    <row r="6" spans="1:68" ht="15.75" thickBot="1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252" t="s">
        <v>67</v>
      </c>
      <c r="T6" s="253"/>
      <c r="U6" s="253"/>
      <c r="V6" s="253"/>
      <c r="W6" s="253"/>
      <c r="X6" s="253"/>
      <c r="Y6" s="254"/>
      <c r="Z6" s="255" t="s">
        <v>68</v>
      </c>
      <c r="AA6" s="256"/>
      <c r="AB6" s="256"/>
      <c r="AC6" s="256"/>
      <c r="AD6" s="256"/>
      <c r="AE6" s="256"/>
      <c r="AF6" s="257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  <c r="AS6" s="84"/>
      <c r="AT6" s="84"/>
      <c r="AU6" s="84"/>
      <c r="AV6" s="84"/>
      <c r="AW6" s="84"/>
      <c r="AX6" s="84"/>
      <c r="AY6" s="84"/>
      <c r="AZ6" s="84"/>
      <c r="BA6" s="84"/>
      <c r="BB6" s="84"/>
      <c r="BC6" s="84"/>
      <c r="BD6" s="84"/>
      <c r="BE6" s="84"/>
      <c r="BF6" s="84"/>
      <c r="BG6" s="84"/>
      <c r="BH6" s="84"/>
      <c r="BI6" s="84"/>
      <c r="BJ6" s="84"/>
      <c r="BK6" s="84"/>
      <c r="BL6" s="84"/>
      <c r="BM6" s="84"/>
      <c r="BN6" s="84"/>
      <c r="BO6" s="84"/>
      <c r="BP6" s="84"/>
    </row>
    <row r="7" spans="1:68" ht="15.75" thickBot="1">
      <c r="A7" s="4"/>
      <c r="B7" s="245" t="s">
        <v>1</v>
      </c>
      <c r="C7" s="277"/>
      <c r="D7" s="277"/>
      <c r="E7" s="276" t="s">
        <v>61</v>
      </c>
      <c r="F7" s="262"/>
      <c r="G7" s="262"/>
      <c r="H7" s="262"/>
      <c r="I7" s="262"/>
      <c r="J7" s="265"/>
      <c r="K7" s="84"/>
      <c r="L7" s="276" t="s">
        <v>69</v>
      </c>
      <c r="M7" s="262"/>
      <c r="N7" s="262"/>
      <c r="O7" s="262"/>
      <c r="P7" s="262"/>
      <c r="Q7" s="265"/>
      <c r="R7" s="84"/>
      <c r="S7" s="64"/>
      <c r="T7" s="4"/>
      <c r="U7" s="4"/>
      <c r="V7" s="4"/>
      <c r="W7" s="4"/>
      <c r="X7" s="4"/>
      <c r="Y7" s="65"/>
      <c r="Z7" s="64"/>
      <c r="AA7" s="4"/>
      <c r="AB7" s="4"/>
      <c r="AC7" s="4"/>
      <c r="AD7" s="4"/>
      <c r="AE7" s="4"/>
      <c r="AF7" s="65"/>
      <c r="AG7" s="84"/>
      <c r="AH7" s="84"/>
      <c r="AI7" s="84"/>
      <c r="AJ7" s="84"/>
      <c r="AK7" s="84"/>
      <c r="AL7" s="84"/>
      <c r="AM7" s="84"/>
      <c r="AN7" s="84"/>
      <c r="AO7" s="84"/>
      <c r="AP7" s="84"/>
      <c r="AQ7" s="84"/>
      <c r="AR7" s="84"/>
      <c r="AS7" s="84"/>
      <c r="AT7" s="84"/>
      <c r="AU7" s="84"/>
      <c r="AV7" s="84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  <c r="BN7" s="84"/>
      <c r="BO7" s="84"/>
      <c r="BP7" s="84"/>
    </row>
    <row r="8" spans="1:68" ht="15.75" thickBot="1">
      <c r="A8" s="35" t="s">
        <v>0</v>
      </c>
      <c r="B8" s="83" t="s">
        <v>66</v>
      </c>
      <c r="C8" s="6" t="s">
        <v>59</v>
      </c>
      <c r="D8" s="122" t="s">
        <v>60</v>
      </c>
      <c r="E8" s="95" t="s">
        <v>63</v>
      </c>
      <c r="F8" s="114" t="s">
        <v>60</v>
      </c>
      <c r="G8" s="114" t="s">
        <v>62</v>
      </c>
      <c r="H8" s="114" t="s">
        <v>5</v>
      </c>
      <c r="I8" s="114" t="s">
        <v>6</v>
      </c>
      <c r="J8" s="96" t="s">
        <v>6</v>
      </c>
      <c r="K8" s="84"/>
      <c r="L8" s="95" t="s">
        <v>63</v>
      </c>
      <c r="M8" s="116" t="s">
        <v>60</v>
      </c>
      <c r="N8" s="116" t="s">
        <v>62</v>
      </c>
      <c r="O8" s="116" t="s">
        <v>5</v>
      </c>
      <c r="P8" s="116" t="s">
        <v>6</v>
      </c>
      <c r="Q8" s="111" t="s">
        <v>6</v>
      </c>
      <c r="R8" s="84"/>
      <c r="S8" s="64"/>
      <c r="T8" s="245" t="s">
        <v>33</v>
      </c>
      <c r="U8" s="246"/>
      <c r="V8" s="4"/>
      <c r="W8" s="245" t="s">
        <v>36</v>
      </c>
      <c r="X8" s="246"/>
      <c r="Y8" s="65"/>
      <c r="Z8" s="64"/>
      <c r="AA8" s="245" t="s">
        <v>33</v>
      </c>
      <c r="AB8" s="246"/>
      <c r="AC8" s="4"/>
      <c r="AD8" s="245" t="s">
        <v>36</v>
      </c>
      <c r="AE8" s="246"/>
      <c r="AF8" s="65"/>
      <c r="AG8" s="84"/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U8" s="84"/>
      <c r="AV8" s="84"/>
      <c r="AW8" s="84"/>
      <c r="AX8" s="84"/>
      <c r="AY8" s="84"/>
      <c r="AZ8" s="84"/>
      <c r="BA8" s="84"/>
      <c r="BB8" s="84"/>
      <c r="BC8" s="84"/>
      <c r="BD8" s="84"/>
      <c r="BE8" s="84"/>
      <c r="BF8" s="84"/>
      <c r="BG8" s="84"/>
      <c r="BH8" s="84"/>
      <c r="BI8" s="84"/>
      <c r="BJ8" s="84"/>
      <c r="BK8" s="84"/>
      <c r="BL8" s="84"/>
      <c r="BM8" s="84"/>
      <c r="BN8" s="84"/>
      <c r="BO8" s="84"/>
      <c r="BP8" s="84"/>
    </row>
    <row r="9" spans="1:68" ht="15.75" thickBot="1">
      <c r="A9" s="80">
        <v>1</v>
      </c>
      <c r="B9" s="174">
        <v>24</v>
      </c>
      <c r="C9" s="174">
        <v>209</v>
      </c>
      <c r="D9" s="72">
        <f>IF(C9&gt;0,B9/C9,"")</f>
        <v>0.11483253588516747</v>
      </c>
      <c r="E9" s="170">
        <f t="shared" ref="E9:E40" si="0">IF(C9&gt;0,SQRT((G9*(1-G9))/C9),"")</f>
        <v>2.4234620464783797E-2</v>
      </c>
      <c r="F9" s="121">
        <f>D9</f>
        <v>0.11483253588516747</v>
      </c>
      <c r="G9" s="161">
        <f>IF(C9&gt;0,SUM($B$9:$B$116)/SUM($C$9:$C$116),"")</f>
        <v>0.14327772325809618</v>
      </c>
      <c r="H9" s="162">
        <f t="shared" ref="H9:H40" si="1">IF(C9&gt;0,G9+E9*3,"")</f>
        <v>0.21598158465244757</v>
      </c>
      <c r="I9" s="162">
        <f>IF(J9&lt;0,0,J9)</f>
        <v>7.0573861863744786E-2</v>
      </c>
      <c r="J9" s="163">
        <f t="shared" ref="J9:J40" si="2">IF(C9&gt;0,G9-E9*3,"")</f>
        <v>7.0573861863744786E-2</v>
      </c>
      <c r="K9" s="84"/>
      <c r="L9" s="120">
        <f t="shared" ref="L9:L40" si="3">IF(C9&gt;0,SQRT((N9*(1-N9))/($N$3)),"")</f>
        <v>3.0389640628943275E-2</v>
      </c>
      <c r="M9" s="119">
        <f>F9</f>
        <v>0.11483253588516747</v>
      </c>
      <c r="N9" s="167">
        <f t="shared" ref="N9:N40" si="4">IF(C9&gt;0,$N$2,"")</f>
        <v>0.14327772325809618</v>
      </c>
      <c r="O9" s="119">
        <f>IF(C9&gt;0,N9+L9*3,"")</f>
        <v>0.234446645144926</v>
      </c>
      <c r="P9" s="119">
        <f>IF(Q9&lt;0,0,Q9)</f>
        <v>5.2108801371266361E-2</v>
      </c>
      <c r="Q9" s="113">
        <f>IF(C9&gt;0,N9-L9*3,"")</f>
        <v>5.2108801371266361E-2</v>
      </c>
      <c r="R9" s="84"/>
      <c r="S9" s="64"/>
      <c r="T9" s="63" t="s">
        <v>5</v>
      </c>
      <c r="U9" s="63">
        <f>COUNTIF($F$9:$F$116,"&gt;"&amp;$H$9)</f>
        <v>5</v>
      </c>
      <c r="V9" s="4"/>
      <c r="W9" s="63" t="s">
        <v>37</v>
      </c>
      <c r="X9" s="59">
        <f>COUNTIF($F$9:$F$116,"&gt;"&amp;$G$9)</f>
        <v>11</v>
      </c>
      <c r="Y9" s="65"/>
      <c r="Z9" s="64"/>
      <c r="AA9" s="63" t="s">
        <v>5</v>
      </c>
      <c r="AB9" s="61">
        <f>COUNTIF($M$9:$M$116,"&gt;"&amp;$O$9)</f>
        <v>5</v>
      </c>
      <c r="AC9" s="4"/>
      <c r="AD9" s="63" t="s">
        <v>5</v>
      </c>
      <c r="AE9" s="61">
        <f>COUNTIF($M$9:$M$116,"&gt;"&amp;#REF!)</f>
        <v>0</v>
      </c>
      <c r="AF9" s="65"/>
      <c r="AG9" s="84"/>
      <c r="AH9" s="84"/>
      <c r="AI9" s="84"/>
      <c r="AJ9" s="84"/>
      <c r="AK9" s="84"/>
      <c r="AL9" s="84"/>
      <c r="AM9" s="84"/>
      <c r="AN9" s="84"/>
      <c r="AO9" s="84"/>
      <c r="AP9" s="84"/>
      <c r="AQ9" s="84"/>
      <c r="AR9" s="84"/>
      <c r="AS9" s="84"/>
      <c r="AT9" s="84"/>
      <c r="AU9" s="84"/>
      <c r="AV9" s="84"/>
      <c r="AW9" s="84"/>
      <c r="AX9" s="84"/>
      <c r="AY9" s="84"/>
      <c r="AZ9" s="84"/>
      <c r="BA9" s="84"/>
      <c r="BB9" s="84"/>
      <c r="BC9" s="84"/>
      <c r="BD9" s="84"/>
      <c r="BE9" s="84"/>
      <c r="BF9" s="84"/>
      <c r="BG9" s="84"/>
      <c r="BH9" s="84"/>
      <c r="BI9" s="84"/>
      <c r="BJ9" s="84"/>
      <c r="BK9" s="84"/>
      <c r="BL9" s="84"/>
      <c r="BM9" s="84"/>
      <c r="BN9" s="84"/>
      <c r="BO9" s="84"/>
      <c r="BP9" s="84"/>
    </row>
    <row r="10" spans="1:68" ht="15.75" thickBot="1">
      <c r="A10" s="80">
        <v>2</v>
      </c>
      <c r="B10" s="174">
        <v>16</v>
      </c>
      <c r="C10" s="174">
        <v>145</v>
      </c>
      <c r="D10" s="72">
        <f t="shared" ref="D10:D73" si="5">IF(C10&lt;&gt;0,B10/C10,"")</f>
        <v>0.1103448275862069</v>
      </c>
      <c r="E10" s="171">
        <f t="shared" si="0"/>
        <v>2.9095469166897446E-2</v>
      </c>
      <c r="F10" s="109">
        <f t="shared" ref="F10:F73" si="6">D10</f>
        <v>0.1103448275862069</v>
      </c>
      <c r="G10" s="161">
        <f t="shared" ref="G10:G73" si="7">IF(C10&gt;0,SUM($B$9:$B$116)/SUM($C$9:$C$116),"")</f>
        <v>0.14327772325809618</v>
      </c>
      <c r="H10" s="166">
        <f t="shared" si="1"/>
        <v>0.23056413075878851</v>
      </c>
      <c r="I10" s="166">
        <f t="shared" ref="I10:I73" si="8">IF(J10&lt;0,0,J10)</f>
        <v>5.5991315757403848E-2</v>
      </c>
      <c r="J10" s="34">
        <f t="shared" si="2"/>
        <v>5.5991315757403848E-2</v>
      </c>
      <c r="K10" s="84"/>
      <c r="L10" s="120">
        <f t="shared" si="3"/>
        <v>3.0389640628943275E-2</v>
      </c>
      <c r="M10" s="119">
        <f t="shared" ref="M10:M73" si="9">F10</f>
        <v>0.1103448275862069</v>
      </c>
      <c r="N10" s="167">
        <f t="shared" si="4"/>
        <v>0.14327772325809618</v>
      </c>
      <c r="O10" s="119">
        <f t="shared" ref="O10:O73" si="10">IF(C10&gt;0,N10+L10*3,"")</f>
        <v>0.234446645144926</v>
      </c>
      <c r="P10" s="119">
        <f t="shared" ref="P10:P73" si="11">IF(Q10&lt;0,0,Q10)</f>
        <v>5.2108801371266361E-2</v>
      </c>
      <c r="Q10" s="113">
        <f t="shared" ref="Q10:Q73" si="12">IF(C10&gt;0,N10-L10*3,"")</f>
        <v>5.2108801371266361E-2</v>
      </c>
      <c r="R10" s="84"/>
      <c r="S10" s="64"/>
      <c r="T10" s="4"/>
      <c r="U10" s="4"/>
      <c r="V10" s="4"/>
      <c r="W10" s="63" t="s">
        <v>38</v>
      </c>
      <c r="X10" s="63">
        <f>COUNTIF($F$9:$F$116,"&lt;"&amp;$G$9)</f>
        <v>12</v>
      </c>
      <c r="Y10" s="65"/>
      <c r="Z10" s="64"/>
      <c r="AA10" s="63" t="s">
        <v>6</v>
      </c>
      <c r="AB10" s="62">
        <f>COUNTIF($M$9:$M$116,"&lt;"&amp;$P$9)</f>
        <v>5</v>
      </c>
      <c r="AC10" s="4"/>
      <c r="AD10" s="63" t="s">
        <v>6</v>
      </c>
      <c r="AE10" s="62">
        <f>COUNTIF($M$9:$M$116,"&lt;"&amp;#REF!)</f>
        <v>0</v>
      </c>
      <c r="AF10" s="65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</row>
    <row r="11" spans="1:68" ht="15.75" thickBot="1">
      <c r="A11" s="80">
        <v>3</v>
      </c>
      <c r="B11" s="174">
        <v>4</v>
      </c>
      <c r="C11" s="174">
        <v>100</v>
      </c>
      <c r="D11" s="72">
        <f t="shared" si="5"/>
        <v>0.04</v>
      </c>
      <c r="E11" s="171">
        <f t="shared" si="0"/>
        <v>3.5035584378753065E-2</v>
      </c>
      <c r="F11" s="109">
        <f t="shared" si="6"/>
        <v>0.04</v>
      </c>
      <c r="G11" s="161">
        <f t="shared" si="7"/>
        <v>0.14327772325809618</v>
      </c>
      <c r="H11" s="166">
        <f t="shared" si="1"/>
        <v>0.24838447639435537</v>
      </c>
      <c r="I11" s="166">
        <f t="shared" si="8"/>
        <v>3.8170970121836983E-2</v>
      </c>
      <c r="J11" s="34">
        <f t="shared" si="2"/>
        <v>3.8170970121836983E-2</v>
      </c>
      <c r="K11" s="84"/>
      <c r="L11" s="120">
        <f t="shared" si="3"/>
        <v>3.0389640628943275E-2</v>
      </c>
      <c r="M11" s="119">
        <f t="shared" si="9"/>
        <v>0.04</v>
      </c>
      <c r="N11" s="167">
        <f t="shared" si="4"/>
        <v>0.14327772325809618</v>
      </c>
      <c r="O11" s="119">
        <f t="shared" si="10"/>
        <v>0.234446645144926</v>
      </c>
      <c r="P11" s="119">
        <f t="shared" si="11"/>
        <v>5.2108801371266361E-2</v>
      </c>
      <c r="Q11" s="113">
        <f t="shared" si="12"/>
        <v>5.2108801371266361E-2</v>
      </c>
      <c r="R11" s="84"/>
      <c r="S11" s="64"/>
      <c r="T11" s="4"/>
      <c r="U11" s="4"/>
      <c r="V11" s="4"/>
      <c r="W11" s="4"/>
      <c r="X11" s="4"/>
      <c r="Y11" s="65"/>
      <c r="Z11" s="64"/>
      <c r="AA11" s="4"/>
      <c r="AB11" s="4"/>
      <c r="AC11" s="4"/>
      <c r="AD11" s="4"/>
      <c r="AE11" s="4"/>
      <c r="AF11" s="65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</row>
    <row r="12" spans="1:68" ht="15.75" thickBot="1">
      <c r="A12" s="80">
        <v>4</v>
      </c>
      <c r="B12" s="174">
        <v>17</v>
      </c>
      <c r="C12" s="174">
        <v>147</v>
      </c>
      <c r="D12" s="72">
        <f t="shared" si="5"/>
        <v>0.11564625850340136</v>
      </c>
      <c r="E12" s="171">
        <f t="shared" si="0"/>
        <v>2.8896862960412755E-2</v>
      </c>
      <c r="F12" s="109">
        <f t="shared" si="6"/>
        <v>0.11564625850340136</v>
      </c>
      <c r="G12" s="161">
        <f t="shared" si="7"/>
        <v>0.14327772325809618</v>
      </c>
      <c r="H12" s="166">
        <f t="shared" si="1"/>
        <v>0.22996831213933444</v>
      </c>
      <c r="I12" s="166">
        <f t="shared" si="8"/>
        <v>5.6587134376857917E-2</v>
      </c>
      <c r="J12" s="34">
        <f t="shared" si="2"/>
        <v>5.6587134376857917E-2</v>
      </c>
      <c r="K12" s="84"/>
      <c r="L12" s="120">
        <f t="shared" si="3"/>
        <v>3.0389640628943275E-2</v>
      </c>
      <c r="M12" s="119">
        <f t="shared" si="9"/>
        <v>0.11564625850340136</v>
      </c>
      <c r="N12" s="167">
        <f t="shared" si="4"/>
        <v>0.14327772325809618</v>
      </c>
      <c r="O12" s="119">
        <f t="shared" si="10"/>
        <v>0.234446645144926</v>
      </c>
      <c r="P12" s="119">
        <f t="shared" si="11"/>
        <v>5.2108801371266361E-2</v>
      </c>
      <c r="Q12" s="113">
        <f t="shared" si="12"/>
        <v>5.2108801371266361E-2</v>
      </c>
      <c r="R12" s="84"/>
      <c r="S12" s="64"/>
      <c r="T12" s="4"/>
      <c r="U12" s="4"/>
      <c r="V12" s="4"/>
      <c r="W12" s="88" t="s">
        <v>42</v>
      </c>
      <c r="X12" s="89">
        <f>SUM(X9:X10)</f>
        <v>23</v>
      </c>
      <c r="Y12" s="65"/>
      <c r="Z12" s="64"/>
      <c r="AA12" s="4"/>
      <c r="AB12" s="4"/>
      <c r="AC12" s="4"/>
      <c r="AD12" s="88" t="s">
        <v>42</v>
      </c>
      <c r="AE12" s="89">
        <f>SUM(AE9:AE10)</f>
        <v>0</v>
      </c>
      <c r="AF12" s="65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84"/>
      <c r="AW12" s="84"/>
      <c r="AX12" s="84"/>
      <c r="AY12" s="84"/>
      <c r="AZ12" s="84"/>
      <c r="BA12" s="84"/>
      <c r="BB12" s="84"/>
      <c r="BC12" s="84"/>
      <c r="BD12" s="84"/>
      <c r="BE12" s="84"/>
      <c r="BF12" s="84"/>
      <c r="BG12" s="84"/>
      <c r="BH12" s="84"/>
      <c r="BI12" s="84"/>
      <c r="BJ12" s="84"/>
      <c r="BK12" s="84"/>
      <c r="BL12" s="84"/>
      <c r="BM12" s="84"/>
      <c r="BN12" s="84"/>
      <c r="BO12" s="84"/>
      <c r="BP12" s="84"/>
    </row>
    <row r="13" spans="1:68" ht="15.75" thickBot="1">
      <c r="A13" s="80">
        <v>5</v>
      </c>
      <c r="B13" s="174">
        <v>2</v>
      </c>
      <c r="C13" s="174">
        <v>138</v>
      </c>
      <c r="D13" s="72">
        <f t="shared" si="5"/>
        <v>1.4492753623188406E-2</v>
      </c>
      <c r="E13" s="171">
        <f t="shared" si="0"/>
        <v>2.9824270011362741E-2</v>
      </c>
      <c r="F13" s="109">
        <f t="shared" si="6"/>
        <v>1.4492753623188406E-2</v>
      </c>
      <c r="G13" s="161">
        <f t="shared" si="7"/>
        <v>0.14327772325809618</v>
      </c>
      <c r="H13" s="166">
        <f t="shared" si="1"/>
        <v>0.2327505332921844</v>
      </c>
      <c r="I13" s="166">
        <f t="shared" si="8"/>
        <v>5.3804913224007961E-2</v>
      </c>
      <c r="J13" s="34">
        <f t="shared" si="2"/>
        <v>5.3804913224007961E-2</v>
      </c>
      <c r="K13" s="84"/>
      <c r="L13" s="120">
        <f t="shared" si="3"/>
        <v>3.0389640628943275E-2</v>
      </c>
      <c r="M13" s="119">
        <f t="shared" si="9"/>
        <v>1.4492753623188406E-2</v>
      </c>
      <c r="N13" s="167">
        <f t="shared" si="4"/>
        <v>0.14327772325809618</v>
      </c>
      <c r="O13" s="119">
        <f t="shared" si="10"/>
        <v>0.234446645144926</v>
      </c>
      <c r="P13" s="119">
        <f t="shared" si="11"/>
        <v>5.2108801371266361E-2</v>
      </c>
      <c r="Q13" s="113">
        <f t="shared" si="12"/>
        <v>5.2108801371266361E-2</v>
      </c>
      <c r="R13" s="84"/>
      <c r="S13" s="64"/>
      <c r="T13" s="4"/>
      <c r="U13" s="4"/>
      <c r="V13" s="4"/>
      <c r="W13" s="4"/>
      <c r="X13" s="4"/>
      <c r="Y13" s="65"/>
      <c r="Z13" s="64"/>
      <c r="AA13" s="4"/>
      <c r="AB13" s="4"/>
      <c r="AC13" s="4"/>
      <c r="AD13" s="4"/>
      <c r="AE13" s="4"/>
      <c r="AF13" s="65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  <c r="BP13" s="84"/>
    </row>
    <row r="14" spans="1:68" ht="15.75" thickBot="1">
      <c r="A14" s="80">
        <v>6</v>
      </c>
      <c r="B14" s="174">
        <v>28</v>
      </c>
      <c r="C14" s="174">
        <v>225</v>
      </c>
      <c r="D14" s="72">
        <f t="shared" si="5"/>
        <v>0.12444444444444444</v>
      </c>
      <c r="E14" s="171">
        <f t="shared" si="0"/>
        <v>2.3357056252502045E-2</v>
      </c>
      <c r="F14" s="109">
        <f>D14</f>
        <v>0.12444444444444444</v>
      </c>
      <c r="G14" s="161">
        <f t="shared" si="7"/>
        <v>0.14327772325809618</v>
      </c>
      <c r="H14" s="166">
        <f t="shared" si="1"/>
        <v>0.21334889201560231</v>
      </c>
      <c r="I14" s="166">
        <f t="shared" si="8"/>
        <v>7.3206554500590049E-2</v>
      </c>
      <c r="J14" s="34">
        <f t="shared" si="2"/>
        <v>7.3206554500590049E-2</v>
      </c>
      <c r="K14" s="84"/>
      <c r="L14" s="120">
        <f t="shared" si="3"/>
        <v>3.0389640628943275E-2</v>
      </c>
      <c r="M14" s="119">
        <f t="shared" si="9"/>
        <v>0.12444444444444444</v>
      </c>
      <c r="N14" s="167">
        <f t="shared" si="4"/>
        <v>0.14327772325809618</v>
      </c>
      <c r="O14" s="119">
        <f t="shared" si="10"/>
        <v>0.234446645144926</v>
      </c>
      <c r="P14" s="119">
        <f t="shared" si="11"/>
        <v>5.2108801371266361E-2</v>
      </c>
      <c r="Q14" s="113">
        <f t="shared" si="12"/>
        <v>5.2108801371266361E-2</v>
      </c>
      <c r="R14" s="84"/>
      <c r="S14" s="64"/>
      <c r="T14" s="4"/>
      <c r="U14" s="4"/>
      <c r="V14" s="4"/>
      <c r="W14" s="4"/>
      <c r="X14" s="4"/>
      <c r="Y14" s="65"/>
      <c r="Z14" s="64"/>
      <c r="AA14" s="4"/>
      <c r="AB14" s="4"/>
      <c r="AC14" s="4"/>
      <c r="AD14" s="4"/>
      <c r="AE14" s="4"/>
      <c r="AF14" s="65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84"/>
      <c r="AW14" s="84"/>
      <c r="AX14" s="84"/>
      <c r="AY14" s="84"/>
      <c r="AZ14" s="84"/>
      <c r="BA14" s="84"/>
      <c r="BB14" s="84"/>
      <c r="BC14" s="84"/>
      <c r="BD14" s="84"/>
      <c r="BE14" s="84"/>
      <c r="BF14" s="84"/>
      <c r="BG14" s="84"/>
      <c r="BH14" s="84"/>
      <c r="BI14" s="84"/>
      <c r="BJ14" s="84"/>
      <c r="BK14" s="84"/>
      <c r="BL14" s="84"/>
      <c r="BM14" s="84"/>
      <c r="BN14" s="84"/>
      <c r="BO14" s="84"/>
      <c r="BP14" s="84"/>
    </row>
    <row r="15" spans="1:68" ht="15.75" thickBot="1">
      <c r="A15" s="80">
        <v>7</v>
      </c>
      <c r="B15" s="174">
        <v>27</v>
      </c>
      <c r="C15" s="174">
        <v>141</v>
      </c>
      <c r="D15" s="72">
        <f t="shared" si="5"/>
        <v>0.19148936170212766</v>
      </c>
      <c r="E15" s="171">
        <f t="shared" si="0"/>
        <v>2.9505284690255016E-2</v>
      </c>
      <c r="F15" s="109">
        <f t="shared" si="6"/>
        <v>0.19148936170212766</v>
      </c>
      <c r="G15" s="161">
        <f t="shared" si="7"/>
        <v>0.14327772325809618</v>
      </c>
      <c r="H15" s="166">
        <f t="shared" si="1"/>
        <v>0.23179357732886124</v>
      </c>
      <c r="I15" s="166">
        <f t="shared" si="8"/>
        <v>5.4761869187331128E-2</v>
      </c>
      <c r="J15" s="34">
        <f t="shared" si="2"/>
        <v>5.4761869187331128E-2</v>
      </c>
      <c r="K15" s="84"/>
      <c r="L15" s="120">
        <f t="shared" si="3"/>
        <v>3.0389640628943275E-2</v>
      </c>
      <c r="M15" s="119">
        <f t="shared" si="9"/>
        <v>0.19148936170212766</v>
      </c>
      <c r="N15" s="167">
        <f t="shared" si="4"/>
        <v>0.14327772325809618</v>
      </c>
      <c r="O15" s="119">
        <f t="shared" si="10"/>
        <v>0.234446645144926</v>
      </c>
      <c r="P15" s="119">
        <f t="shared" si="11"/>
        <v>5.2108801371266361E-2</v>
      </c>
      <c r="Q15" s="113">
        <f t="shared" si="12"/>
        <v>5.2108801371266361E-2</v>
      </c>
      <c r="R15" s="84"/>
      <c r="S15" s="64"/>
      <c r="T15" s="4"/>
      <c r="U15" s="4"/>
      <c r="V15" s="4"/>
      <c r="W15" s="4"/>
      <c r="X15" s="4"/>
      <c r="Y15" s="65"/>
      <c r="Z15" s="64"/>
      <c r="AA15" s="4"/>
      <c r="AB15" s="4"/>
      <c r="AC15" s="4"/>
      <c r="AD15" s="4"/>
      <c r="AE15" s="4"/>
      <c r="AF15" s="65"/>
      <c r="AG15" s="84"/>
      <c r="AH15" s="84"/>
      <c r="AI15" s="84"/>
      <c r="AJ15" s="84"/>
      <c r="AK15" s="84"/>
      <c r="AL15" s="84"/>
      <c r="AM15" s="84"/>
      <c r="AN15" s="84"/>
      <c r="AO15" s="84"/>
      <c r="AP15" s="84"/>
      <c r="AQ15" s="84"/>
      <c r="AR15" s="84"/>
      <c r="AS15" s="84"/>
      <c r="AT15" s="84"/>
      <c r="AU15" s="84"/>
      <c r="AV15" s="84"/>
      <c r="AW15" s="84"/>
      <c r="AX15" s="84"/>
      <c r="AY15" s="84"/>
      <c r="AZ15" s="84"/>
      <c r="BA15" s="84"/>
      <c r="BB15" s="84"/>
      <c r="BC15" s="84"/>
      <c r="BD15" s="84"/>
      <c r="BE15" s="84"/>
      <c r="BF15" s="84"/>
      <c r="BG15" s="84"/>
      <c r="BH15" s="84"/>
      <c r="BI15" s="84"/>
      <c r="BJ15" s="84"/>
      <c r="BK15" s="84"/>
      <c r="BL15" s="84"/>
      <c r="BM15" s="84"/>
      <c r="BN15" s="84"/>
      <c r="BO15" s="84"/>
      <c r="BP15" s="84"/>
    </row>
    <row r="16" spans="1:68" ht="15.75" thickBot="1">
      <c r="A16" s="80">
        <v>8</v>
      </c>
      <c r="B16" s="174">
        <v>34</v>
      </c>
      <c r="C16" s="174">
        <v>138</v>
      </c>
      <c r="D16" s="72">
        <f t="shared" si="5"/>
        <v>0.24637681159420291</v>
      </c>
      <c r="E16" s="171">
        <f t="shared" si="0"/>
        <v>2.9824270011362741E-2</v>
      </c>
      <c r="F16" s="109">
        <f t="shared" si="6"/>
        <v>0.24637681159420291</v>
      </c>
      <c r="G16" s="161">
        <f t="shared" si="7"/>
        <v>0.14327772325809618</v>
      </c>
      <c r="H16" s="166">
        <f t="shared" si="1"/>
        <v>0.2327505332921844</v>
      </c>
      <c r="I16" s="166">
        <f t="shared" si="8"/>
        <v>5.3804913224007961E-2</v>
      </c>
      <c r="J16" s="34">
        <f t="shared" si="2"/>
        <v>5.3804913224007961E-2</v>
      </c>
      <c r="K16" s="84"/>
      <c r="L16" s="120">
        <f t="shared" si="3"/>
        <v>3.0389640628943275E-2</v>
      </c>
      <c r="M16" s="119">
        <f t="shared" si="9"/>
        <v>0.24637681159420291</v>
      </c>
      <c r="N16" s="167">
        <f t="shared" si="4"/>
        <v>0.14327772325809618</v>
      </c>
      <c r="O16" s="119">
        <f t="shared" si="10"/>
        <v>0.234446645144926</v>
      </c>
      <c r="P16" s="119">
        <f t="shared" si="11"/>
        <v>5.2108801371266361E-2</v>
      </c>
      <c r="Q16" s="113">
        <f t="shared" si="12"/>
        <v>5.2108801371266361E-2</v>
      </c>
      <c r="R16" s="84"/>
      <c r="S16" s="64"/>
      <c r="T16" s="4"/>
      <c r="U16" s="4"/>
      <c r="V16" s="4"/>
      <c r="W16" s="4"/>
      <c r="X16" s="4"/>
      <c r="Y16" s="65"/>
      <c r="Z16" s="64"/>
      <c r="AA16" s="4"/>
      <c r="AB16" s="4"/>
      <c r="AC16" s="4"/>
      <c r="AD16" s="4"/>
      <c r="AE16" s="4"/>
      <c r="AF16" s="65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84"/>
      <c r="BG16" s="84"/>
      <c r="BH16" s="84"/>
      <c r="BI16" s="84"/>
      <c r="BJ16" s="84"/>
      <c r="BK16" s="84"/>
      <c r="BL16" s="84"/>
      <c r="BM16" s="84"/>
      <c r="BN16" s="84"/>
      <c r="BO16" s="84"/>
      <c r="BP16" s="84"/>
    </row>
    <row r="17" spans="1:68" ht="15.75" thickBot="1">
      <c r="A17" s="80">
        <v>9</v>
      </c>
      <c r="B17" s="174">
        <v>34</v>
      </c>
      <c r="C17" s="174">
        <v>127</v>
      </c>
      <c r="D17" s="72">
        <f t="shared" si="5"/>
        <v>0.26771653543307089</v>
      </c>
      <c r="E17" s="171">
        <f t="shared" si="0"/>
        <v>3.1089053859684045E-2</v>
      </c>
      <c r="F17" s="109">
        <f t="shared" si="6"/>
        <v>0.26771653543307089</v>
      </c>
      <c r="G17" s="161">
        <f t="shared" si="7"/>
        <v>0.14327772325809618</v>
      </c>
      <c r="H17" s="166">
        <f t="shared" si="1"/>
        <v>0.23654488483714831</v>
      </c>
      <c r="I17" s="166">
        <f t="shared" si="8"/>
        <v>5.0010561679044052E-2</v>
      </c>
      <c r="J17" s="34">
        <f t="shared" si="2"/>
        <v>5.0010561679044052E-2</v>
      </c>
      <c r="K17" s="84"/>
      <c r="L17" s="120">
        <f t="shared" si="3"/>
        <v>3.0389640628943275E-2</v>
      </c>
      <c r="M17" s="119">
        <f t="shared" si="9"/>
        <v>0.26771653543307089</v>
      </c>
      <c r="N17" s="167">
        <f t="shared" si="4"/>
        <v>0.14327772325809618</v>
      </c>
      <c r="O17" s="119">
        <f t="shared" si="10"/>
        <v>0.234446645144926</v>
      </c>
      <c r="P17" s="119">
        <f t="shared" si="11"/>
        <v>5.2108801371266361E-2</v>
      </c>
      <c r="Q17" s="113">
        <f t="shared" si="12"/>
        <v>5.2108801371266361E-2</v>
      </c>
      <c r="R17" s="84"/>
      <c r="S17" s="64"/>
      <c r="T17" s="4"/>
      <c r="U17" s="4"/>
      <c r="V17" s="4"/>
      <c r="W17" s="4"/>
      <c r="X17" s="4"/>
      <c r="Y17" s="65"/>
      <c r="Z17" s="64"/>
      <c r="AA17" s="4"/>
      <c r="AB17" s="4"/>
      <c r="AC17" s="4"/>
      <c r="AD17" s="4"/>
      <c r="AE17" s="4"/>
      <c r="AF17" s="65"/>
      <c r="AG17" s="84"/>
      <c r="AH17" s="84"/>
      <c r="AI17" s="84"/>
      <c r="AJ17" s="84"/>
      <c r="AK17" s="84"/>
      <c r="AL17" s="84"/>
      <c r="AM17" s="84"/>
      <c r="AN17" s="84"/>
      <c r="AO17" s="84"/>
      <c r="AP17" s="84"/>
      <c r="AQ17" s="84"/>
      <c r="AR17" s="84"/>
      <c r="AS17" s="84"/>
      <c r="AT17" s="84"/>
      <c r="AU17" s="84"/>
      <c r="AV17" s="84"/>
      <c r="AW17" s="84"/>
      <c r="AX17" s="84"/>
      <c r="AY17" s="84"/>
      <c r="AZ17" s="84"/>
      <c r="BA17" s="84"/>
      <c r="BB17" s="84"/>
      <c r="BC17" s="84"/>
      <c r="BD17" s="84"/>
      <c r="BE17" s="84"/>
      <c r="BF17" s="84"/>
      <c r="BG17" s="84"/>
      <c r="BH17" s="84"/>
      <c r="BI17" s="84"/>
      <c r="BJ17" s="84"/>
      <c r="BK17" s="84"/>
      <c r="BL17" s="84"/>
      <c r="BM17" s="84"/>
      <c r="BN17" s="84"/>
      <c r="BO17" s="84"/>
      <c r="BP17" s="84"/>
    </row>
    <row r="18" spans="1:68" ht="15.75" thickBot="1">
      <c r="A18" s="80">
        <v>10</v>
      </c>
      <c r="B18" s="174">
        <v>4</v>
      </c>
      <c r="C18" s="174">
        <v>118</v>
      </c>
      <c r="D18" s="72">
        <f t="shared" si="5"/>
        <v>3.3898305084745763E-2</v>
      </c>
      <c r="E18" s="171">
        <f t="shared" si="0"/>
        <v>3.2252869702315071E-2</v>
      </c>
      <c r="F18" s="109">
        <f t="shared" si="6"/>
        <v>3.3898305084745763E-2</v>
      </c>
      <c r="G18" s="161">
        <f t="shared" si="7"/>
        <v>0.14327772325809618</v>
      </c>
      <c r="H18" s="166">
        <f t="shared" si="1"/>
        <v>0.2400363323650414</v>
      </c>
      <c r="I18" s="166">
        <f t="shared" si="8"/>
        <v>4.6519114151150967E-2</v>
      </c>
      <c r="J18" s="34">
        <f t="shared" si="2"/>
        <v>4.6519114151150967E-2</v>
      </c>
      <c r="K18" s="84"/>
      <c r="L18" s="120">
        <f t="shared" si="3"/>
        <v>3.0389640628943275E-2</v>
      </c>
      <c r="M18" s="119">
        <f t="shared" si="9"/>
        <v>3.3898305084745763E-2</v>
      </c>
      <c r="N18" s="167">
        <f t="shared" si="4"/>
        <v>0.14327772325809618</v>
      </c>
      <c r="O18" s="119">
        <f t="shared" si="10"/>
        <v>0.234446645144926</v>
      </c>
      <c r="P18" s="119">
        <f t="shared" si="11"/>
        <v>5.2108801371266361E-2</v>
      </c>
      <c r="Q18" s="113">
        <f t="shared" si="12"/>
        <v>5.2108801371266361E-2</v>
      </c>
      <c r="R18" s="84"/>
      <c r="S18" s="64"/>
      <c r="T18" s="4"/>
      <c r="U18" s="4"/>
      <c r="V18" s="4"/>
      <c r="W18" s="4"/>
      <c r="X18" s="4"/>
      <c r="Y18" s="65"/>
      <c r="Z18" s="64"/>
      <c r="AA18" s="4"/>
      <c r="AB18" s="4"/>
      <c r="AC18" s="4"/>
      <c r="AD18" s="4"/>
      <c r="AE18" s="4"/>
      <c r="AF18" s="65"/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  <c r="BC18" s="84"/>
      <c r="BD18" s="84"/>
      <c r="BE18" s="84"/>
      <c r="BF18" s="84"/>
      <c r="BG18" s="84"/>
      <c r="BH18" s="84"/>
      <c r="BI18" s="84"/>
      <c r="BJ18" s="84"/>
      <c r="BK18" s="84"/>
      <c r="BL18" s="84"/>
      <c r="BM18" s="84"/>
      <c r="BN18" s="84"/>
      <c r="BO18" s="84"/>
      <c r="BP18" s="84"/>
    </row>
    <row r="19" spans="1:68" ht="15.75" thickBot="1">
      <c r="A19" s="80">
        <v>11</v>
      </c>
      <c r="B19" s="174">
        <v>17</v>
      </c>
      <c r="C19" s="174">
        <v>100</v>
      </c>
      <c r="D19" s="72">
        <f t="shared" si="5"/>
        <v>0.17</v>
      </c>
      <c r="E19" s="171">
        <f t="shared" si="0"/>
        <v>3.5035584378753065E-2</v>
      </c>
      <c r="F19" s="109">
        <f t="shared" si="6"/>
        <v>0.17</v>
      </c>
      <c r="G19" s="161">
        <f t="shared" si="7"/>
        <v>0.14327772325809618</v>
      </c>
      <c r="H19" s="166">
        <f t="shared" si="1"/>
        <v>0.24838447639435537</v>
      </c>
      <c r="I19" s="166">
        <f t="shared" si="8"/>
        <v>3.8170970121836983E-2</v>
      </c>
      <c r="J19" s="34">
        <f t="shared" si="2"/>
        <v>3.8170970121836983E-2</v>
      </c>
      <c r="K19" s="84"/>
      <c r="L19" s="120">
        <f t="shared" si="3"/>
        <v>3.0389640628943275E-2</v>
      </c>
      <c r="M19" s="119">
        <f t="shared" si="9"/>
        <v>0.17</v>
      </c>
      <c r="N19" s="167">
        <f t="shared" si="4"/>
        <v>0.14327772325809618</v>
      </c>
      <c r="O19" s="119">
        <f t="shared" si="10"/>
        <v>0.234446645144926</v>
      </c>
      <c r="P19" s="119">
        <f t="shared" si="11"/>
        <v>5.2108801371266361E-2</v>
      </c>
      <c r="Q19" s="113">
        <f t="shared" si="12"/>
        <v>5.2108801371266361E-2</v>
      </c>
      <c r="R19" s="84"/>
      <c r="S19" s="64"/>
      <c r="T19" s="4"/>
      <c r="U19" s="4"/>
      <c r="V19" s="4"/>
      <c r="W19" s="4"/>
      <c r="X19" s="4"/>
      <c r="Y19" s="65"/>
      <c r="Z19" s="64"/>
      <c r="AA19" s="4"/>
      <c r="AB19" s="4"/>
      <c r="AC19" s="4"/>
      <c r="AD19" s="4"/>
      <c r="AE19" s="4"/>
      <c r="AF19" s="65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</row>
    <row r="20" spans="1:68" ht="15.75" thickBot="1">
      <c r="A20" s="80">
        <v>12</v>
      </c>
      <c r="B20" s="174">
        <v>33</v>
      </c>
      <c r="C20" s="174">
        <v>103</v>
      </c>
      <c r="D20" s="72">
        <f t="shared" si="5"/>
        <v>0.32038834951456313</v>
      </c>
      <c r="E20" s="171">
        <f t="shared" si="0"/>
        <v>3.4521587065980942E-2</v>
      </c>
      <c r="F20" s="109">
        <f t="shared" si="6"/>
        <v>0.32038834951456313</v>
      </c>
      <c r="G20" s="161">
        <f t="shared" si="7"/>
        <v>0.14327772325809618</v>
      </c>
      <c r="H20" s="166">
        <f t="shared" si="1"/>
        <v>0.24684248445603901</v>
      </c>
      <c r="I20" s="166">
        <f t="shared" si="8"/>
        <v>3.9712962060153345E-2</v>
      </c>
      <c r="J20" s="34">
        <f t="shared" si="2"/>
        <v>3.9712962060153345E-2</v>
      </c>
      <c r="K20" s="84"/>
      <c r="L20" s="120">
        <f t="shared" si="3"/>
        <v>3.0389640628943275E-2</v>
      </c>
      <c r="M20" s="119">
        <f t="shared" si="9"/>
        <v>0.32038834951456313</v>
      </c>
      <c r="N20" s="167">
        <f t="shared" si="4"/>
        <v>0.14327772325809618</v>
      </c>
      <c r="O20" s="119">
        <f t="shared" si="10"/>
        <v>0.234446645144926</v>
      </c>
      <c r="P20" s="119">
        <f t="shared" si="11"/>
        <v>5.2108801371266361E-2</v>
      </c>
      <c r="Q20" s="113">
        <f t="shared" si="12"/>
        <v>5.2108801371266361E-2</v>
      </c>
      <c r="R20" s="84"/>
      <c r="S20" s="64"/>
      <c r="T20" s="4"/>
      <c r="U20" s="4"/>
      <c r="V20" s="4"/>
      <c r="W20" s="4"/>
      <c r="X20" s="4"/>
      <c r="Y20" s="65"/>
      <c r="Z20" s="64"/>
      <c r="AA20" s="4"/>
      <c r="AB20" s="4"/>
      <c r="AC20" s="4"/>
      <c r="AD20" s="4"/>
      <c r="AE20" s="4"/>
      <c r="AF20" s="65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4"/>
      <c r="AS20" s="84"/>
      <c r="AT20" s="84"/>
      <c r="AU20" s="84"/>
      <c r="AV20" s="84"/>
      <c r="AW20" s="84"/>
      <c r="AX20" s="84"/>
      <c r="AY20" s="84"/>
      <c r="AZ20" s="84"/>
      <c r="BA20" s="84"/>
      <c r="BB20" s="84"/>
      <c r="BC20" s="84"/>
      <c r="BD20" s="84"/>
      <c r="BE20" s="84"/>
      <c r="BF20" s="84"/>
      <c r="BG20" s="84"/>
      <c r="BH20" s="84"/>
      <c r="BI20" s="84"/>
      <c r="BJ20" s="84"/>
      <c r="BK20" s="84"/>
      <c r="BL20" s="84"/>
      <c r="BM20" s="84"/>
      <c r="BN20" s="84"/>
      <c r="BO20" s="84"/>
      <c r="BP20" s="84"/>
    </row>
    <row r="21" spans="1:68" ht="15.75" thickBot="1">
      <c r="A21" s="80">
        <v>13</v>
      </c>
      <c r="B21" s="174">
        <v>16</v>
      </c>
      <c r="C21" s="174">
        <v>121</v>
      </c>
      <c r="D21" s="72">
        <f t="shared" si="5"/>
        <v>0.13223140495867769</v>
      </c>
      <c r="E21" s="171">
        <f t="shared" si="0"/>
        <v>3.1850531253411876E-2</v>
      </c>
      <c r="F21" s="109">
        <f t="shared" si="6"/>
        <v>0.13223140495867769</v>
      </c>
      <c r="G21" s="161">
        <f t="shared" si="7"/>
        <v>0.14327772325809618</v>
      </c>
      <c r="H21" s="166">
        <f t="shared" si="1"/>
        <v>0.23882931701833182</v>
      </c>
      <c r="I21" s="166">
        <f t="shared" si="8"/>
        <v>4.772612949786055E-2</v>
      </c>
      <c r="J21" s="34">
        <f t="shared" si="2"/>
        <v>4.772612949786055E-2</v>
      </c>
      <c r="K21" s="84"/>
      <c r="L21" s="120">
        <f t="shared" si="3"/>
        <v>3.0389640628943275E-2</v>
      </c>
      <c r="M21" s="119">
        <f t="shared" si="9"/>
        <v>0.13223140495867769</v>
      </c>
      <c r="N21" s="167">
        <f t="shared" si="4"/>
        <v>0.14327772325809618</v>
      </c>
      <c r="O21" s="119">
        <f t="shared" si="10"/>
        <v>0.234446645144926</v>
      </c>
      <c r="P21" s="119">
        <f t="shared" si="11"/>
        <v>5.2108801371266361E-2</v>
      </c>
      <c r="Q21" s="113">
        <f t="shared" si="12"/>
        <v>5.2108801371266361E-2</v>
      </c>
      <c r="R21" s="84"/>
      <c r="S21" s="64"/>
      <c r="T21" s="4"/>
      <c r="U21" s="4"/>
      <c r="V21" s="4"/>
      <c r="W21" s="4"/>
      <c r="X21" s="4"/>
      <c r="Y21" s="65"/>
      <c r="Z21" s="64"/>
      <c r="AA21" s="4"/>
      <c r="AB21" s="4"/>
      <c r="AC21" s="4"/>
      <c r="AD21" s="4"/>
      <c r="AE21" s="4"/>
      <c r="AF21" s="65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</row>
    <row r="22" spans="1:68" ht="15.75" thickBot="1">
      <c r="A22" s="80">
        <v>14</v>
      </c>
      <c r="B22" s="174">
        <v>29</v>
      </c>
      <c r="C22" s="174">
        <v>200</v>
      </c>
      <c r="D22" s="72">
        <f t="shared" si="5"/>
        <v>0.14499999999999999</v>
      </c>
      <c r="E22" s="171">
        <f t="shared" si="0"/>
        <v>2.4773899297049765E-2</v>
      </c>
      <c r="F22" s="109">
        <f t="shared" si="6"/>
        <v>0.14499999999999999</v>
      </c>
      <c r="G22" s="161">
        <f t="shared" si="7"/>
        <v>0.14327772325809618</v>
      </c>
      <c r="H22" s="166">
        <f t="shared" si="1"/>
        <v>0.21759942114924546</v>
      </c>
      <c r="I22" s="166">
        <f t="shared" si="8"/>
        <v>6.895602536694688E-2</v>
      </c>
      <c r="J22" s="34">
        <f t="shared" si="2"/>
        <v>6.895602536694688E-2</v>
      </c>
      <c r="K22" s="84"/>
      <c r="L22" s="120">
        <f t="shared" si="3"/>
        <v>3.0389640628943275E-2</v>
      </c>
      <c r="M22" s="119">
        <f t="shared" si="9"/>
        <v>0.14499999999999999</v>
      </c>
      <c r="N22" s="167">
        <f t="shared" si="4"/>
        <v>0.14327772325809618</v>
      </c>
      <c r="O22" s="119">
        <f t="shared" si="10"/>
        <v>0.234446645144926</v>
      </c>
      <c r="P22" s="119">
        <f t="shared" si="11"/>
        <v>5.2108801371266361E-2</v>
      </c>
      <c r="Q22" s="113">
        <f t="shared" si="12"/>
        <v>5.2108801371266361E-2</v>
      </c>
      <c r="R22" s="84"/>
      <c r="S22" s="64"/>
      <c r="T22" s="4"/>
      <c r="U22" s="4"/>
      <c r="V22" s="4"/>
      <c r="W22" s="4"/>
      <c r="X22" s="4"/>
      <c r="Y22" s="65"/>
      <c r="Z22" s="64"/>
      <c r="AA22" s="4"/>
      <c r="AB22" s="4"/>
      <c r="AC22" s="4"/>
      <c r="AD22" s="4"/>
      <c r="AE22" s="4"/>
      <c r="AF22" s="65"/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4"/>
    </row>
    <row r="23" spans="1:68" ht="15.75" thickBot="1">
      <c r="A23" s="80">
        <v>15</v>
      </c>
      <c r="B23" s="174">
        <v>21</v>
      </c>
      <c r="C23" s="174">
        <v>113</v>
      </c>
      <c r="D23" s="72">
        <f t="shared" si="5"/>
        <v>0.18584070796460178</v>
      </c>
      <c r="E23" s="171">
        <f t="shared" si="0"/>
        <v>3.2958705361107378E-2</v>
      </c>
      <c r="F23" s="109">
        <f t="shared" si="6"/>
        <v>0.18584070796460178</v>
      </c>
      <c r="G23" s="161">
        <f t="shared" si="7"/>
        <v>0.14327772325809618</v>
      </c>
      <c r="H23" s="166">
        <f t="shared" si="1"/>
        <v>0.24215383934141832</v>
      </c>
      <c r="I23" s="166">
        <f t="shared" si="8"/>
        <v>4.4401607174774038E-2</v>
      </c>
      <c r="J23" s="34">
        <f t="shared" si="2"/>
        <v>4.4401607174774038E-2</v>
      </c>
      <c r="K23" s="84"/>
      <c r="L23" s="120">
        <f t="shared" si="3"/>
        <v>3.0389640628943275E-2</v>
      </c>
      <c r="M23" s="119">
        <f t="shared" si="9"/>
        <v>0.18584070796460178</v>
      </c>
      <c r="N23" s="167">
        <f t="shared" si="4"/>
        <v>0.14327772325809618</v>
      </c>
      <c r="O23" s="119">
        <f t="shared" si="10"/>
        <v>0.234446645144926</v>
      </c>
      <c r="P23" s="119">
        <f t="shared" si="11"/>
        <v>5.2108801371266361E-2</v>
      </c>
      <c r="Q23" s="113">
        <f t="shared" si="12"/>
        <v>5.2108801371266361E-2</v>
      </c>
      <c r="R23" s="84"/>
      <c r="S23" s="64"/>
      <c r="T23" s="4"/>
      <c r="U23" s="4"/>
      <c r="V23" s="4"/>
      <c r="W23" s="4"/>
      <c r="X23" s="4"/>
      <c r="Y23" s="65"/>
      <c r="Z23" s="64"/>
      <c r="AA23" s="4"/>
      <c r="AB23" s="4"/>
      <c r="AC23" s="4"/>
      <c r="AD23" s="4"/>
      <c r="AE23" s="4"/>
      <c r="AF23" s="65"/>
      <c r="AG23" s="84"/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4"/>
      <c r="AS23" s="84"/>
      <c r="AT23" s="84"/>
      <c r="AU23" s="84"/>
      <c r="AV23" s="84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  <c r="BN23" s="84"/>
      <c r="BO23" s="84"/>
      <c r="BP23" s="84"/>
    </row>
    <row r="24" spans="1:68" ht="15.75" thickBot="1">
      <c r="A24" s="80">
        <v>16</v>
      </c>
      <c r="B24" s="174">
        <v>6</v>
      </c>
      <c r="C24" s="174">
        <v>100</v>
      </c>
      <c r="D24" s="72">
        <f t="shared" si="5"/>
        <v>0.06</v>
      </c>
      <c r="E24" s="171">
        <f t="shared" si="0"/>
        <v>3.5035584378753065E-2</v>
      </c>
      <c r="F24" s="109">
        <f t="shared" si="6"/>
        <v>0.06</v>
      </c>
      <c r="G24" s="161">
        <f t="shared" si="7"/>
        <v>0.14327772325809618</v>
      </c>
      <c r="H24" s="166">
        <f t="shared" si="1"/>
        <v>0.24838447639435537</v>
      </c>
      <c r="I24" s="166">
        <f t="shared" si="8"/>
        <v>3.8170970121836983E-2</v>
      </c>
      <c r="J24" s="34">
        <f t="shared" si="2"/>
        <v>3.8170970121836983E-2</v>
      </c>
      <c r="K24" s="84"/>
      <c r="L24" s="120">
        <f t="shared" si="3"/>
        <v>3.0389640628943275E-2</v>
      </c>
      <c r="M24" s="119">
        <f t="shared" si="9"/>
        <v>0.06</v>
      </c>
      <c r="N24" s="167">
        <f t="shared" si="4"/>
        <v>0.14327772325809618</v>
      </c>
      <c r="O24" s="119">
        <f t="shared" si="10"/>
        <v>0.234446645144926</v>
      </c>
      <c r="P24" s="119">
        <f t="shared" si="11"/>
        <v>5.2108801371266361E-2</v>
      </c>
      <c r="Q24" s="113">
        <f t="shared" si="12"/>
        <v>5.2108801371266361E-2</v>
      </c>
      <c r="R24" s="84"/>
      <c r="S24" s="64"/>
      <c r="T24" s="4"/>
      <c r="U24" s="4"/>
      <c r="V24" s="4"/>
      <c r="W24" s="4"/>
      <c r="X24" s="4"/>
      <c r="Y24" s="65"/>
      <c r="Z24" s="64"/>
      <c r="AA24" s="4"/>
      <c r="AB24" s="4"/>
      <c r="AC24" s="4"/>
      <c r="AD24" s="4"/>
      <c r="AE24" s="4"/>
      <c r="AF24" s="65"/>
      <c r="AG24" s="84"/>
      <c r="AH24" s="84"/>
      <c r="AI24" s="84"/>
      <c r="AJ24" s="84"/>
      <c r="AK24" s="84"/>
      <c r="AL24" s="84"/>
      <c r="AM24" s="84"/>
      <c r="AN24" s="84"/>
      <c r="AO24" s="84"/>
      <c r="AP24" s="84"/>
      <c r="AQ24" s="84"/>
      <c r="AR24" s="84"/>
      <c r="AS24" s="84"/>
      <c r="AT24" s="84"/>
      <c r="AU24" s="84"/>
      <c r="AV24" s="84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  <c r="BN24" s="84"/>
      <c r="BO24" s="84"/>
      <c r="BP24" s="84"/>
    </row>
    <row r="25" spans="1:68" ht="15.75" thickBot="1">
      <c r="A25" s="80">
        <v>17</v>
      </c>
      <c r="B25" s="174">
        <v>36</v>
      </c>
      <c r="C25" s="174">
        <v>143</v>
      </c>
      <c r="D25" s="72">
        <f t="shared" si="5"/>
        <v>0.25174825174825177</v>
      </c>
      <c r="E25" s="171">
        <f t="shared" si="0"/>
        <v>2.9298227502661495E-2</v>
      </c>
      <c r="F25" s="109">
        <f t="shared" si="6"/>
        <v>0.25174825174825177</v>
      </c>
      <c r="G25" s="161">
        <f t="shared" si="7"/>
        <v>0.14327772325809618</v>
      </c>
      <c r="H25" s="166">
        <f t="shared" si="1"/>
        <v>0.23117240576608067</v>
      </c>
      <c r="I25" s="166">
        <f t="shared" si="8"/>
        <v>5.5383040750111689E-2</v>
      </c>
      <c r="J25" s="34">
        <f t="shared" si="2"/>
        <v>5.5383040750111689E-2</v>
      </c>
      <c r="K25" s="84"/>
      <c r="L25" s="120">
        <f t="shared" si="3"/>
        <v>3.0389640628943275E-2</v>
      </c>
      <c r="M25" s="119">
        <f t="shared" si="9"/>
        <v>0.25174825174825177</v>
      </c>
      <c r="N25" s="167">
        <f t="shared" si="4"/>
        <v>0.14327772325809618</v>
      </c>
      <c r="O25" s="119">
        <f t="shared" si="10"/>
        <v>0.234446645144926</v>
      </c>
      <c r="P25" s="119">
        <f t="shared" si="11"/>
        <v>5.2108801371266361E-2</v>
      </c>
      <c r="Q25" s="113">
        <f t="shared" si="12"/>
        <v>5.2108801371266361E-2</v>
      </c>
      <c r="R25" s="84"/>
      <c r="S25" s="64"/>
      <c r="T25" s="4"/>
      <c r="U25" s="4"/>
      <c r="V25" s="4"/>
      <c r="W25" s="4"/>
      <c r="X25" s="4"/>
      <c r="Y25" s="65"/>
      <c r="Z25" s="64"/>
      <c r="AA25" s="4"/>
      <c r="AB25" s="4"/>
      <c r="AC25" s="4"/>
      <c r="AD25" s="4"/>
      <c r="AE25" s="4"/>
      <c r="AF25" s="65"/>
      <c r="AG25" s="84"/>
      <c r="AH25" s="84"/>
      <c r="AI25" s="84"/>
      <c r="AJ25" s="84"/>
      <c r="AK25" s="84"/>
      <c r="AL25" s="84"/>
      <c r="AM25" s="84"/>
      <c r="AN25" s="84"/>
      <c r="AO25" s="84"/>
      <c r="AP25" s="84"/>
      <c r="AQ25" s="84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  <c r="BP25" s="84"/>
    </row>
    <row r="26" spans="1:68" ht="15.75" thickBot="1">
      <c r="A26" s="80">
        <v>18</v>
      </c>
      <c r="B26" s="174">
        <v>34</v>
      </c>
      <c r="C26" s="174">
        <v>104</v>
      </c>
      <c r="D26" s="72">
        <f t="shared" si="5"/>
        <v>0.32692307692307693</v>
      </c>
      <c r="E26" s="171">
        <f t="shared" si="0"/>
        <v>3.435521700334393E-2</v>
      </c>
      <c r="F26" s="109">
        <f t="shared" si="6"/>
        <v>0.32692307692307693</v>
      </c>
      <c r="G26" s="161">
        <f t="shared" si="7"/>
        <v>0.14327772325809618</v>
      </c>
      <c r="H26" s="166">
        <f t="shared" si="1"/>
        <v>0.24634337426812797</v>
      </c>
      <c r="I26" s="166">
        <f t="shared" si="8"/>
        <v>4.021207224806439E-2</v>
      </c>
      <c r="J26" s="34">
        <f t="shared" si="2"/>
        <v>4.021207224806439E-2</v>
      </c>
      <c r="K26" s="84"/>
      <c r="L26" s="120">
        <f t="shared" si="3"/>
        <v>3.0389640628943275E-2</v>
      </c>
      <c r="M26" s="119">
        <f t="shared" si="9"/>
        <v>0.32692307692307693</v>
      </c>
      <c r="N26" s="167">
        <f t="shared" si="4"/>
        <v>0.14327772325809618</v>
      </c>
      <c r="O26" s="119">
        <f t="shared" si="10"/>
        <v>0.234446645144926</v>
      </c>
      <c r="P26" s="119">
        <f t="shared" si="11"/>
        <v>5.2108801371266361E-2</v>
      </c>
      <c r="Q26" s="113">
        <f t="shared" si="12"/>
        <v>5.2108801371266361E-2</v>
      </c>
      <c r="R26" s="84"/>
      <c r="S26" s="64"/>
      <c r="T26" s="4"/>
      <c r="U26" s="4"/>
      <c r="V26" s="4"/>
      <c r="W26" s="4"/>
      <c r="X26" s="4"/>
      <c r="Y26" s="65"/>
      <c r="Z26" s="64"/>
      <c r="AA26" s="4"/>
      <c r="AB26" s="4"/>
      <c r="AC26" s="4"/>
      <c r="AD26" s="4"/>
      <c r="AE26" s="4"/>
      <c r="AF26" s="65"/>
      <c r="AG26" s="84"/>
      <c r="AH26" s="84"/>
      <c r="AI26" s="84"/>
      <c r="AJ26" s="84"/>
      <c r="AK26" s="84"/>
      <c r="AL26" s="84"/>
      <c r="AM26" s="84"/>
      <c r="AN26" s="84"/>
      <c r="AO26" s="84"/>
      <c r="AP26" s="84"/>
      <c r="AQ26" s="84"/>
      <c r="AR26" s="84"/>
      <c r="AS26" s="84"/>
      <c r="AT26" s="84"/>
      <c r="AU26" s="84"/>
      <c r="AV26" s="84"/>
      <c r="AW26" s="84"/>
      <c r="AX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  <c r="BP26" s="84"/>
    </row>
    <row r="27" spans="1:68" ht="15.75" thickBot="1">
      <c r="A27" s="80">
        <v>19</v>
      </c>
      <c r="B27" s="174">
        <v>17</v>
      </c>
      <c r="C27" s="174">
        <v>106</v>
      </c>
      <c r="D27" s="72">
        <f t="shared" si="5"/>
        <v>0.16037735849056603</v>
      </c>
      <c r="E27" s="171">
        <f t="shared" si="0"/>
        <v>3.4029567786507869E-2</v>
      </c>
      <c r="F27" s="109">
        <f t="shared" si="6"/>
        <v>0.16037735849056603</v>
      </c>
      <c r="G27" s="161">
        <f t="shared" si="7"/>
        <v>0.14327772325809618</v>
      </c>
      <c r="H27" s="166">
        <f t="shared" si="1"/>
        <v>0.24536642661761979</v>
      </c>
      <c r="I27" s="166">
        <f t="shared" si="8"/>
        <v>4.1189019898572571E-2</v>
      </c>
      <c r="J27" s="34">
        <f t="shared" si="2"/>
        <v>4.1189019898572571E-2</v>
      </c>
      <c r="K27" s="84"/>
      <c r="L27" s="120">
        <f t="shared" si="3"/>
        <v>3.0389640628943275E-2</v>
      </c>
      <c r="M27" s="119">
        <f t="shared" si="9"/>
        <v>0.16037735849056603</v>
      </c>
      <c r="N27" s="167">
        <f t="shared" si="4"/>
        <v>0.14327772325809618</v>
      </c>
      <c r="O27" s="119">
        <f t="shared" si="10"/>
        <v>0.234446645144926</v>
      </c>
      <c r="P27" s="119">
        <f t="shared" si="11"/>
        <v>5.2108801371266361E-2</v>
      </c>
      <c r="Q27" s="113">
        <f t="shared" si="12"/>
        <v>5.2108801371266361E-2</v>
      </c>
      <c r="R27" s="84"/>
      <c r="S27" s="64"/>
      <c r="T27" s="4"/>
      <c r="U27" s="4"/>
      <c r="V27" s="4"/>
      <c r="W27" s="4"/>
      <c r="X27" s="4"/>
      <c r="Y27" s="65"/>
      <c r="Z27" s="64"/>
      <c r="AA27" s="4"/>
      <c r="AB27" s="4"/>
      <c r="AC27" s="4"/>
      <c r="AD27" s="4"/>
      <c r="AE27" s="4"/>
      <c r="AF27" s="65"/>
      <c r="AG27" s="84"/>
      <c r="AH27" s="84"/>
      <c r="AI27" s="84"/>
      <c r="AJ27" s="84"/>
      <c r="AK27" s="84"/>
      <c r="AL27" s="84"/>
      <c r="AM27" s="84"/>
      <c r="AN27" s="84"/>
      <c r="AO27" s="84"/>
      <c r="AP27" s="84"/>
      <c r="AQ27" s="84"/>
      <c r="AR27" s="84"/>
      <c r="AS27" s="84"/>
      <c r="AT27" s="84"/>
      <c r="AU27" s="84"/>
      <c r="AV27" s="84"/>
      <c r="AW27" s="84"/>
      <c r="AX27" s="84"/>
      <c r="AY27" s="84"/>
      <c r="AZ27" s="84"/>
      <c r="BA27" s="84"/>
      <c r="BB27" s="84"/>
      <c r="BC27" s="84"/>
      <c r="BD27" s="84"/>
      <c r="BE27" s="84"/>
      <c r="BF27" s="84"/>
      <c r="BG27" s="84"/>
      <c r="BH27" s="84"/>
      <c r="BI27" s="84"/>
      <c r="BJ27" s="84"/>
      <c r="BK27" s="84"/>
      <c r="BL27" s="84"/>
      <c r="BM27" s="84"/>
      <c r="BN27" s="84"/>
      <c r="BO27" s="84"/>
      <c r="BP27" s="84"/>
    </row>
    <row r="28" spans="1:68" ht="15.75" thickBot="1">
      <c r="A28" s="80">
        <v>20</v>
      </c>
      <c r="B28" s="174">
        <v>6</v>
      </c>
      <c r="C28" s="174">
        <v>119</v>
      </c>
      <c r="D28" s="72">
        <f t="shared" si="5"/>
        <v>5.0420168067226892E-2</v>
      </c>
      <c r="E28" s="171">
        <f t="shared" si="0"/>
        <v>3.2117067542508017E-2</v>
      </c>
      <c r="F28" s="109">
        <f t="shared" si="6"/>
        <v>5.0420168067226892E-2</v>
      </c>
      <c r="G28" s="161">
        <f t="shared" si="7"/>
        <v>0.14327772325809618</v>
      </c>
      <c r="H28" s="166">
        <f t="shared" si="1"/>
        <v>0.23962892588562024</v>
      </c>
      <c r="I28" s="166">
        <f t="shared" si="8"/>
        <v>4.6926520630572122E-2</v>
      </c>
      <c r="J28" s="34">
        <f t="shared" si="2"/>
        <v>4.6926520630572122E-2</v>
      </c>
      <c r="K28" s="84"/>
      <c r="L28" s="120">
        <f t="shared" si="3"/>
        <v>3.0389640628943275E-2</v>
      </c>
      <c r="M28" s="119">
        <f t="shared" si="9"/>
        <v>5.0420168067226892E-2</v>
      </c>
      <c r="N28" s="167">
        <f t="shared" si="4"/>
        <v>0.14327772325809618</v>
      </c>
      <c r="O28" s="119">
        <f t="shared" si="10"/>
        <v>0.234446645144926</v>
      </c>
      <c r="P28" s="119">
        <f t="shared" si="11"/>
        <v>5.2108801371266361E-2</v>
      </c>
      <c r="Q28" s="113">
        <f t="shared" si="12"/>
        <v>5.2108801371266361E-2</v>
      </c>
      <c r="R28" s="84"/>
      <c r="S28" s="64"/>
      <c r="T28" s="4"/>
      <c r="U28" s="4"/>
      <c r="V28" s="4"/>
      <c r="W28" s="4"/>
      <c r="X28" s="4"/>
      <c r="Y28" s="65"/>
      <c r="Z28" s="64"/>
      <c r="AA28" s="4"/>
      <c r="AB28" s="4"/>
      <c r="AC28" s="4"/>
      <c r="AD28" s="4"/>
      <c r="AE28" s="4"/>
      <c r="AF28" s="65"/>
      <c r="AG28" s="84"/>
      <c r="AH28" s="84"/>
      <c r="AI28" s="84"/>
      <c r="AJ28" s="84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84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</row>
    <row r="29" spans="1:68" ht="15.75" thickBot="1">
      <c r="A29" s="80"/>
      <c r="B29" s="174">
        <v>16</v>
      </c>
      <c r="C29" s="174">
        <v>109</v>
      </c>
      <c r="D29" s="72">
        <f t="shared" si="5"/>
        <v>0.14678899082568808</v>
      </c>
      <c r="E29" s="171">
        <f t="shared" si="0"/>
        <v>3.3558003636053255E-2</v>
      </c>
      <c r="F29" s="109">
        <f t="shared" si="6"/>
        <v>0.14678899082568808</v>
      </c>
      <c r="G29" s="161">
        <f t="shared" si="7"/>
        <v>0.14327772325809618</v>
      </c>
      <c r="H29" s="166">
        <f t="shared" si="1"/>
        <v>0.24395173416625593</v>
      </c>
      <c r="I29" s="166">
        <f t="shared" si="8"/>
        <v>4.2603712349936415E-2</v>
      </c>
      <c r="J29" s="34">
        <f t="shared" si="2"/>
        <v>4.2603712349936415E-2</v>
      </c>
      <c r="K29" s="84"/>
      <c r="L29" s="120">
        <f t="shared" si="3"/>
        <v>3.0389640628943275E-2</v>
      </c>
      <c r="M29" s="119">
        <f t="shared" si="9"/>
        <v>0.14678899082568808</v>
      </c>
      <c r="N29" s="167">
        <f t="shared" si="4"/>
        <v>0.14327772325809618</v>
      </c>
      <c r="O29" s="119">
        <f t="shared" si="10"/>
        <v>0.234446645144926</v>
      </c>
      <c r="P29" s="119">
        <f t="shared" si="11"/>
        <v>5.2108801371266361E-2</v>
      </c>
      <c r="Q29" s="113">
        <f t="shared" si="12"/>
        <v>5.2108801371266361E-2</v>
      </c>
      <c r="R29" s="84"/>
      <c r="S29" s="64"/>
      <c r="T29" s="4"/>
      <c r="U29" s="4"/>
      <c r="V29" s="4"/>
      <c r="W29" s="4"/>
      <c r="X29" s="4"/>
      <c r="Y29" s="65"/>
      <c r="Z29" s="64"/>
      <c r="AA29" s="4"/>
      <c r="AB29" s="4"/>
      <c r="AC29" s="4"/>
      <c r="AD29" s="4"/>
      <c r="AE29" s="4"/>
      <c r="AF29" s="65"/>
      <c r="AG29" s="84"/>
      <c r="AH29" s="84"/>
      <c r="AI29" s="84"/>
      <c r="AJ29" s="84"/>
      <c r="AK29" s="84"/>
      <c r="AL29" s="84"/>
      <c r="AM29" s="84"/>
      <c r="AN29" s="84"/>
      <c r="AO29" s="84"/>
      <c r="AP29" s="84"/>
      <c r="AQ29" s="84"/>
      <c r="AR29" s="84"/>
      <c r="AS29" s="84"/>
      <c r="AT29" s="84"/>
      <c r="AU29" s="84"/>
      <c r="AV29" s="84"/>
      <c r="AW29" s="84"/>
      <c r="AX29" s="84"/>
      <c r="AY29" s="84"/>
      <c r="AZ29" s="84"/>
      <c r="BA29" s="84"/>
      <c r="BB29" s="84"/>
      <c r="BC29" s="84"/>
      <c r="BD29" s="84"/>
      <c r="BE29" s="84"/>
      <c r="BF29" s="84"/>
      <c r="BG29" s="84"/>
      <c r="BH29" s="84"/>
      <c r="BI29" s="84"/>
      <c r="BJ29" s="84"/>
      <c r="BK29" s="84"/>
      <c r="BL29" s="84"/>
      <c r="BM29" s="84"/>
      <c r="BN29" s="84"/>
      <c r="BO29" s="84"/>
      <c r="BP29" s="84"/>
    </row>
    <row r="30" spans="1:68" ht="15.75" thickBot="1">
      <c r="A30" s="80"/>
      <c r="B30" s="174">
        <v>12</v>
      </c>
      <c r="C30" s="174">
        <v>104</v>
      </c>
      <c r="D30" s="72">
        <f t="shared" si="5"/>
        <v>0.11538461538461539</v>
      </c>
      <c r="E30" s="171">
        <f t="shared" si="0"/>
        <v>3.435521700334393E-2</v>
      </c>
      <c r="F30" s="109">
        <f t="shared" si="6"/>
        <v>0.11538461538461539</v>
      </c>
      <c r="G30" s="161">
        <f t="shared" si="7"/>
        <v>0.14327772325809618</v>
      </c>
      <c r="H30" s="166">
        <f t="shared" si="1"/>
        <v>0.24634337426812797</v>
      </c>
      <c r="I30" s="166">
        <f t="shared" si="8"/>
        <v>4.021207224806439E-2</v>
      </c>
      <c r="J30" s="34">
        <f t="shared" si="2"/>
        <v>4.021207224806439E-2</v>
      </c>
      <c r="K30" s="84"/>
      <c r="L30" s="120">
        <f t="shared" si="3"/>
        <v>3.0389640628943275E-2</v>
      </c>
      <c r="M30" s="119">
        <f t="shared" si="9"/>
        <v>0.11538461538461539</v>
      </c>
      <c r="N30" s="167">
        <f t="shared" si="4"/>
        <v>0.14327772325809618</v>
      </c>
      <c r="O30" s="119">
        <f t="shared" si="10"/>
        <v>0.234446645144926</v>
      </c>
      <c r="P30" s="119">
        <f t="shared" si="11"/>
        <v>5.2108801371266361E-2</v>
      </c>
      <c r="Q30" s="113">
        <f t="shared" si="12"/>
        <v>5.2108801371266361E-2</v>
      </c>
      <c r="R30" s="84"/>
      <c r="S30" s="64"/>
      <c r="T30" s="4"/>
      <c r="U30" s="4"/>
      <c r="V30" s="4"/>
      <c r="W30" s="4"/>
      <c r="X30" s="4"/>
      <c r="Y30" s="65"/>
      <c r="Z30" s="64"/>
      <c r="AA30" s="4"/>
      <c r="AB30" s="4"/>
      <c r="AC30" s="4"/>
      <c r="AD30" s="4"/>
      <c r="AE30" s="4"/>
      <c r="AF30" s="65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84"/>
      <c r="AW30" s="84"/>
      <c r="AX30" s="84"/>
      <c r="AY30" s="84"/>
      <c r="AZ30" s="84"/>
      <c r="BA30" s="84"/>
      <c r="BB30" s="84"/>
      <c r="BC30" s="84"/>
      <c r="BD30" s="84"/>
      <c r="BE30" s="84"/>
      <c r="BF30" s="84"/>
      <c r="BG30" s="84"/>
      <c r="BH30" s="84"/>
      <c r="BI30" s="84"/>
      <c r="BJ30" s="84"/>
      <c r="BK30" s="84"/>
      <c r="BL30" s="84"/>
      <c r="BM30" s="84"/>
      <c r="BN30" s="84"/>
      <c r="BO30" s="84"/>
      <c r="BP30" s="84"/>
    </row>
    <row r="31" spans="1:68" ht="15.75" thickBot="1">
      <c r="A31" s="80"/>
      <c r="B31" s="174">
        <v>5</v>
      </c>
      <c r="C31" s="174">
        <v>147</v>
      </c>
      <c r="D31" s="72">
        <f t="shared" si="5"/>
        <v>3.4013605442176874E-2</v>
      </c>
      <c r="E31" s="171">
        <f t="shared" si="0"/>
        <v>2.8896862960412755E-2</v>
      </c>
      <c r="F31" s="109">
        <f t="shared" si="6"/>
        <v>3.4013605442176874E-2</v>
      </c>
      <c r="G31" s="161">
        <f t="shared" si="7"/>
        <v>0.14327772325809618</v>
      </c>
      <c r="H31" s="166">
        <f t="shared" si="1"/>
        <v>0.22996831213933444</v>
      </c>
      <c r="I31" s="166">
        <f t="shared" si="8"/>
        <v>5.6587134376857917E-2</v>
      </c>
      <c r="J31" s="34">
        <f t="shared" si="2"/>
        <v>5.6587134376857917E-2</v>
      </c>
      <c r="K31" s="84"/>
      <c r="L31" s="120">
        <f t="shared" si="3"/>
        <v>3.0389640628943275E-2</v>
      </c>
      <c r="M31" s="119">
        <f t="shared" si="9"/>
        <v>3.4013605442176874E-2</v>
      </c>
      <c r="N31" s="167">
        <f t="shared" si="4"/>
        <v>0.14327772325809618</v>
      </c>
      <c r="O31" s="119">
        <f t="shared" si="10"/>
        <v>0.234446645144926</v>
      </c>
      <c r="P31" s="119">
        <f t="shared" si="11"/>
        <v>5.2108801371266361E-2</v>
      </c>
      <c r="Q31" s="113">
        <f t="shared" si="12"/>
        <v>5.2108801371266361E-2</v>
      </c>
      <c r="R31" s="84"/>
      <c r="S31" s="64"/>
      <c r="T31" s="4"/>
      <c r="U31" s="4"/>
      <c r="V31" s="4"/>
      <c r="W31" s="4"/>
      <c r="X31" s="4"/>
      <c r="Y31" s="65"/>
      <c r="Z31" s="64"/>
      <c r="AA31" s="4"/>
      <c r="AB31" s="4"/>
      <c r="AC31" s="4"/>
      <c r="AD31" s="4"/>
      <c r="AE31" s="4"/>
      <c r="AF31" s="65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4"/>
      <c r="AS31" s="84"/>
      <c r="AT31" s="84"/>
      <c r="AU31" s="84"/>
      <c r="AV31" s="84"/>
      <c r="AW31" s="84"/>
      <c r="AX31" s="84"/>
      <c r="AY31" s="84"/>
      <c r="AZ31" s="84"/>
      <c r="BA31" s="84"/>
      <c r="BB31" s="84"/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  <c r="BN31" s="84"/>
      <c r="BO31" s="84"/>
      <c r="BP31" s="84"/>
    </row>
    <row r="32" spans="1:68" ht="15.75" thickBot="1">
      <c r="A32" s="80"/>
      <c r="B32" s="106"/>
      <c r="C32" s="72"/>
      <c r="D32" s="72" t="str">
        <f t="shared" si="5"/>
        <v/>
      </c>
      <c r="E32" s="171" t="str">
        <f t="shared" si="0"/>
        <v/>
      </c>
      <c r="F32" s="109" t="str">
        <f t="shared" si="6"/>
        <v/>
      </c>
      <c r="G32" s="161" t="str">
        <f t="shared" si="7"/>
        <v/>
      </c>
      <c r="H32" s="166" t="str">
        <f t="shared" si="1"/>
        <v/>
      </c>
      <c r="I32" s="166" t="str">
        <f t="shared" si="8"/>
        <v/>
      </c>
      <c r="J32" s="34" t="str">
        <f t="shared" si="2"/>
        <v/>
      </c>
      <c r="K32" s="84"/>
      <c r="L32" s="120" t="str">
        <f t="shared" si="3"/>
        <v/>
      </c>
      <c r="M32" s="119" t="str">
        <f t="shared" si="9"/>
        <v/>
      </c>
      <c r="N32" s="167" t="str">
        <f t="shared" si="4"/>
        <v/>
      </c>
      <c r="O32" s="119" t="str">
        <f t="shared" si="10"/>
        <v/>
      </c>
      <c r="P32" s="119" t="str">
        <f t="shared" si="11"/>
        <v/>
      </c>
      <c r="Q32" s="113" t="str">
        <f t="shared" si="12"/>
        <v/>
      </c>
      <c r="R32" s="84"/>
      <c r="S32" s="64"/>
      <c r="T32" s="4"/>
      <c r="U32" s="4"/>
      <c r="V32" s="4"/>
      <c r="W32" s="4"/>
      <c r="X32" s="4"/>
      <c r="Y32" s="65"/>
      <c r="Z32" s="64"/>
      <c r="AA32" s="4"/>
      <c r="AB32" s="4"/>
      <c r="AC32" s="4"/>
      <c r="AD32" s="4"/>
      <c r="AE32" s="4"/>
      <c r="AF32" s="65"/>
      <c r="AG32" s="84"/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4"/>
      <c r="AS32" s="84"/>
      <c r="AT32" s="84"/>
      <c r="AU32" s="84"/>
      <c r="AV32" s="84"/>
      <c r="AW32" s="84"/>
      <c r="AX32" s="84"/>
      <c r="AY32" s="84"/>
      <c r="AZ32" s="84"/>
      <c r="BA32" s="84"/>
      <c r="BB32" s="84"/>
      <c r="BC32" s="84"/>
      <c r="BD32" s="84"/>
      <c r="BE32" s="84"/>
      <c r="BF32" s="84"/>
      <c r="BG32" s="84"/>
      <c r="BH32" s="84"/>
      <c r="BI32" s="84"/>
      <c r="BJ32" s="84"/>
      <c r="BK32" s="84"/>
      <c r="BL32" s="84"/>
      <c r="BM32" s="84"/>
      <c r="BN32" s="84"/>
      <c r="BO32" s="84"/>
      <c r="BP32" s="84"/>
    </row>
    <row r="33" spans="1:68" ht="15.75" thickBot="1">
      <c r="A33" s="80"/>
      <c r="B33" s="106"/>
      <c r="C33" s="72"/>
      <c r="D33" s="72" t="str">
        <f t="shared" si="5"/>
        <v/>
      </c>
      <c r="E33" s="171" t="str">
        <f t="shared" si="0"/>
        <v/>
      </c>
      <c r="F33" s="109" t="str">
        <f t="shared" si="6"/>
        <v/>
      </c>
      <c r="G33" s="161" t="str">
        <f t="shared" si="7"/>
        <v/>
      </c>
      <c r="H33" s="166" t="str">
        <f t="shared" si="1"/>
        <v/>
      </c>
      <c r="I33" s="166" t="str">
        <f t="shared" si="8"/>
        <v/>
      </c>
      <c r="J33" s="34" t="str">
        <f t="shared" si="2"/>
        <v/>
      </c>
      <c r="K33" s="84"/>
      <c r="L33" s="120" t="str">
        <f t="shared" si="3"/>
        <v/>
      </c>
      <c r="M33" s="119" t="str">
        <f t="shared" si="9"/>
        <v/>
      </c>
      <c r="N33" s="167" t="str">
        <f t="shared" si="4"/>
        <v/>
      </c>
      <c r="O33" s="119" t="str">
        <f t="shared" si="10"/>
        <v/>
      </c>
      <c r="P33" s="119" t="str">
        <f t="shared" si="11"/>
        <v/>
      </c>
      <c r="Q33" s="113" t="str">
        <f t="shared" si="12"/>
        <v/>
      </c>
      <c r="R33" s="84"/>
      <c r="S33" s="64"/>
      <c r="T33" s="4"/>
      <c r="U33" s="4"/>
      <c r="V33" s="4"/>
      <c r="W33" s="4"/>
      <c r="X33" s="4"/>
      <c r="Y33" s="65"/>
      <c r="Z33" s="64"/>
      <c r="AA33" s="4"/>
      <c r="AB33" s="4"/>
      <c r="AC33" s="4"/>
      <c r="AD33" s="4"/>
      <c r="AE33" s="4"/>
      <c r="AF33" s="65"/>
      <c r="AG33" s="84"/>
      <c r="AH33" s="84"/>
      <c r="AI33" s="84"/>
      <c r="AJ33" s="84"/>
      <c r="AK33" s="84"/>
      <c r="AL33" s="84"/>
      <c r="AM33" s="84"/>
      <c r="AN33" s="84"/>
      <c r="AO33" s="84"/>
      <c r="AP33" s="84"/>
      <c r="AQ33" s="84"/>
      <c r="AR33" s="84"/>
      <c r="AS33" s="84"/>
      <c r="AT33" s="84"/>
      <c r="AU33" s="84"/>
      <c r="AV33" s="84"/>
      <c r="AW33" s="84"/>
      <c r="AX33" s="84"/>
      <c r="AY33" s="84"/>
      <c r="AZ33" s="84"/>
      <c r="BA33" s="84"/>
      <c r="BB33" s="84"/>
      <c r="BC33" s="84"/>
      <c r="BD33" s="84"/>
      <c r="BE33" s="84"/>
      <c r="BF33" s="84"/>
      <c r="BG33" s="84"/>
      <c r="BH33" s="84"/>
      <c r="BI33" s="84"/>
      <c r="BJ33" s="84"/>
      <c r="BK33" s="84"/>
      <c r="BL33" s="84"/>
      <c r="BM33" s="84"/>
      <c r="BN33" s="84"/>
      <c r="BO33" s="84"/>
      <c r="BP33" s="84"/>
    </row>
    <row r="34" spans="1:68" ht="15.75" thickBot="1">
      <c r="A34" s="2"/>
      <c r="B34" s="23"/>
      <c r="C34" s="23"/>
      <c r="D34" s="72" t="str">
        <f t="shared" si="5"/>
        <v/>
      </c>
      <c r="E34" s="171" t="str">
        <f t="shared" si="0"/>
        <v/>
      </c>
      <c r="F34" s="109" t="str">
        <f t="shared" si="6"/>
        <v/>
      </c>
      <c r="G34" s="161" t="str">
        <f t="shared" si="7"/>
        <v/>
      </c>
      <c r="H34" s="166" t="str">
        <f t="shared" si="1"/>
        <v/>
      </c>
      <c r="I34" s="166" t="str">
        <f t="shared" si="8"/>
        <v/>
      </c>
      <c r="J34" s="34" t="str">
        <f t="shared" si="2"/>
        <v/>
      </c>
      <c r="K34" s="84"/>
      <c r="L34" s="120" t="str">
        <f t="shared" si="3"/>
        <v/>
      </c>
      <c r="M34" s="119" t="str">
        <f t="shared" si="9"/>
        <v/>
      </c>
      <c r="N34" s="167" t="str">
        <f t="shared" si="4"/>
        <v/>
      </c>
      <c r="O34" s="119" t="str">
        <f t="shared" si="10"/>
        <v/>
      </c>
      <c r="P34" s="119" t="str">
        <f t="shared" si="11"/>
        <v/>
      </c>
      <c r="Q34" s="113" t="str">
        <f t="shared" si="12"/>
        <v/>
      </c>
      <c r="R34" s="84"/>
      <c r="S34" s="66"/>
      <c r="T34" s="67"/>
      <c r="U34" s="67"/>
      <c r="V34" s="67"/>
      <c r="W34" s="67"/>
      <c r="X34" s="67"/>
      <c r="Y34" s="68"/>
      <c r="Z34" s="66"/>
      <c r="AA34" s="67"/>
      <c r="AB34" s="67"/>
      <c r="AC34" s="67"/>
      <c r="AD34" s="67"/>
      <c r="AE34" s="67"/>
      <c r="AF34" s="68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</row>
    <row r="35" spans="1:68" ht="15.75" thickBot="1">
      <c r="A35" s="2"/>
      <c r="B35" s="23"/>
      <c r="C35" s="23"/>
      <c r="D35" s="72" t="str">
        <f t="shared" si="5"/>
        <v/>
      </c>
      <c r="E35" s="171" t="str">
        <f t="shared" si="0"/>
        <v/>
      </c>
      <c r="F35" s="109" t="str">
        <f t="shared" si="6"/>
        <v/>
      </c>
      <c r="G35" s="161" t="str">
        <f t="shared" si="7"/>
        <v/>
      </c>
      <c r="H35" s="166" t="str">
        <f t="shared" si="1"/>
        <v/>
      </c>
      <c r="I35" s="166" t="str">
        <f t="shared" si="8"/>
        <v/>
      </c>
      <c r="J35" s="34" t="str">
        <f t="shared" si="2"/>
        <v/>
      </c>
      <c r="K35" s="84"/>
      <c r="L35" s="120" t="str">
        <f t="shared" si="3"/>
        <v/>
      </c>
      <c r="M35" s="119" t="str">
        <f t="shared" si="9"/>
        <v/>
      </c>
      <c r="N35" s="167" t="str">
        <f t="shared" si="4"/>
        <v/>
      </c>
      <c r="O35" s="119" t="str">
        <f t="shared" si="10"/>
        <v/>
      </c>
      <c r="P35" s="119" t="str">
        <f t="shared" si="11"/>
        <v/>
      </c>
      <c r="Q35" s="113" t="str">
        <f t="shared" si="12"/>
        <v/>
      </c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  <c r="AN35" s="84"/>
      <c r="AO35" s="84"/>
      <c r="AP35" s="84"/>
      <c r="AQ35" s="84"/>
      <c r="AR35" s="84"/>
      <c r="AS35" s="84"/>
      <c r="AT35" s="84"/>
      <c r="AU35" s="84"/>
      <c r="AV35" s="84"/>
      <c r="AW35" s="84"/>
      <c r="AX35" s="84"/>
      <c r="AY35" s="84"/>
      <c r="AZ35" s="84"/>
      <c r="BA35" s="84"/>
      <c r="BB35" s="84"/>
      <c r="BC35" s="84"/>
      <c r="BD35" s="84"/>
      <c r="BE35" s="84"/>
      <c r="BF35" s="84"/>
      <c r="BG35" s="84"/>
      <c r="BH35" s="84"/>
      <c r="BI35" s="84"/>
      <c r="BJ35" s="84"/>
      <c r="BK35" s="84"/>
      <c r="BL35" s="84"/>
      <c r="BM35" s="84"/>
      <c r="BN35" s="84"/>
      <c r="BO35" s="84"/>
      <c r="BP35" s="84"/>
    </row>
    <row r="36" spans="1:68" ht="15.75" thickBot="1">
      <c r="A36" s="2"/>
      <c r="B36" s="23"/>
      <c r="C36" s="23"/>
      <c r="D36" s="72" t="str">
        <f t="shared" si="5"/>
        <v/>
      </c>
      <c r="E36" s="171" t="str">
        <f t="shared" si="0"/>
        <v/>
      </c>
      <c r="F36" s="109" t="str">
        <f t="shared" si="6"/>
        <v/>
      </c>
      <c r="G36" s="161" t="str">
        <f t="shared" si="7"/>
        <v/>
      </c>
      <c r="H36" s="166" t="str">
        <f t="shared" si="1"/>
        <v/>
      </c>
      <c r="I36" s="166" t="str">
        <f t="shared" si="8"/>
        <v/>
      </c>
      <c r="J36" s="34" t="str">
        <f t="shared" si="2"/>
        <v/>
      </c>
      <c r="K36" s="84"/>
      <c r="L36" s="120" t="str">
        <f t="shared" si="3"/>
        <v/>
      </c>
      <c r="M36" s="119" t="str">
        <f t="shared" si="9"/>
        <v/>
      </c>
      <c r="N36" s="167" t="str">
        <f t="shared" si="4"/>
        <v/>
      </c>
      <c r="O36" s="119" t="str">
        <f t="shared" si="10"/>
        <v/>
      </c>
      <c r="P36" s="119" t="str">
        <f t="shared" si="11"/>
        <v/>
      </c>
      <c r="Q36" s="113" t="str">
        <f t="shared" si="12"/>
        <v/>
      </c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84"/>
      <c r="AP36" s="84"/>
      <c r="AQ36" s="84"/>
      <c r="AR36" s="84"/>
      <c r="AS36" s="84"/>
      <c r="AT36" s="84"/>
      <c r="AU36" s="84"/>
      <c r="AV36" s="84"/>
      <c r="AW36" s="84"/>
      <c r="AX36" s="84"/>
      <c r="AY36" s="84"/>
      <c r="AZ36" s="84"/>
      <c r="BA36" s="84"/>
      <c r="BB36" s="84"/>
      <c r="BC36" s="84"/>
      <c r="BD36" s="84"/>
      <c r="BE36" s="84"/>
      <c r="BF36" s="84"/>
      <c r="BG36" s="84"/>
      <c r="BH36" s="84"/>
      <c r="BI36" s="84"/>
      <c r="BJ36" s="84"/>
      <c r="BK36" s="84"/>
      <c r="BL36" s="84"/>
      <c r="BM36" s="84"/>
      <c r="BN36" s="84"/>
      <c r="BO36" s="84"/>
      <c r="BP36" s="84"/>
    </row>
    <row r="37" spans="1:68" ht="15.75" thickBot="1">
      <c r="A37" s="2"/>
      <c r="B37" s="23"/>
      <c r="C37" s="23"/>
      <c r="D37" s="72" t="str">
        <f t="shared" si="5"/>
        <v/>
      </c>
      <c r="E37" s="171" t="str">
        <f t="shared" si="0"/>
        <v/>
      </c>
      <c r="F37" s="109" t="str">
        <f t="shared" si="6"/>
        <v/>
      </c>
      <c r="G37" s="161" t="str">
        <f t="shared" si="7"/>
        <v/>
      </c>
      <c r="H37" s="166" t="str">
        <f t="shared" si="1"/>
        <v/>
      </c>
      <c r="I37" s="166" t="str">
        <f t="shared" si="8"/>
        <v/>
      </c>
      <c r="J37" s="34" t="str">
        <f t="shared" si="2"/>
        <v/>
      </c>
      <c r="K37" s="84"/>
      <c r="L37" s="120" t="str">
        <f t="shared" si="3"/>
        <v/>
      </c>
      <c r="M37" s="119" t="str">
        <f t="shared" si="9"/>
        <v/>
      </c>
      <c r="N37" s="167" t="str">
        <f t="shared" si="4"/>
        <v/>
      </c>
      <c r="O37" s="119" t="str">
        <f t="shared" si="10"/>
        <v/>
      </c>
      <c r="P37" s="119" t="str">
        <f t="shared" si="11"/>
        <v/>
      </c>
      <c r="Q37" s="113" t="str">
        <f t="shared" si="12"/>
        <v/>
      </c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84"/>
      <c r="AN37" s="84"/>
      <c r="AO37" s="84"/>
      <c r="AP37" s="84"/>
      <c r="AQ37" s="84"/>
      <c r="AR37" s="84"/>
      <c r="AS37" s="84"/>
      <c r="AT37" s="84"/>
      <c r="AU37" s="84"/>
      <c r="AV37" s="84"/>
      <c r="AW37" s="84"/>
      <c r="AX37" s="84"/>
      <c r="AY37" s="84"/>
      <c r="AZ37" s="84"/>
      <c r="BA37" s="84"/>
      <c r="BB37" s="84"/>
      <c r="BC37" s="84"/>
      <c r="BD37" s="84"/>
      <c r="BE37" s="84"/>
      <c r="BF37" s="84"/>
      <c r="BG37" s="84"/>
      <c r="BH37" s="84"/>
      <c r="BI37" s="84"/>
      <c r="BJ37" s="84"/>
      <c r="BK37" s="84"/>
      <c r="BL37" s="84"/>
      <c r="BM37" s="84"/>
      <c r="BN37" s="84"/>
      <c r="BO37" s="84"/>
      <c r="BP37" s="84"/>
    </row>
    <row r="38" spans="1:68" ht="15.75" thickBot="1">
      <c r="A38" s="2"/>
      <c r="B38" s="23"/>
      <c r="C38" s="23"/>
      <c r="D38" s="72" t="str">
        <f t="shared" si="5"/>
        <v/>
      </c>
      <c r="E38" s="171" t="str">
        <f t="shared" si="0"/>
        <v/>
      </c>
      <c r="F38" s="109" t="str">
        <f t="shared" si="6"/>
        <v/>
      </c>
      <c r="G38" s="161" t="str">
        <f t="shared" si="7"/>
        <v/>
      </c>
      <c r="H38" s="166" t="str">
        <f t="shared" si="1"/>
        <v/>
      </c>
      <c r="I38" s="166" t="str">
        <f t="shared" si="8"/>
        <v/>
      </c>
      <c r="J38" s="34" t="str">
        <f t="shared" si="2"/>
        <v/>
      </c>
      <c r="K38" s="84"/>
      <c r="L38" s="120" t="str">
        <f t="shared" si="3"/>
        <v/>
      </c>
      <c r="M38" s="119" t="str">
        <f t="shared" si="9"/>
        <v/>
      </c>
      <c r="N38" s="167" t="str">
        <f t="shared" si="4"/>
        <v/>
      </c>
      <c r="O38" s="119" t="str">
        <f t="shared" si="10"/>
        <v/>
      </c>
      <c r="P38" s="119" t="str">
        <f t="shared" si="11"/>
        <v/>
      </c>
      <c r="Q38" s="113" t="str">
        <f t="shared" si="12"/>
        <v/>
      </c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  <c r="AO38" s="84"/>
      <c r="AP38" s="84"/>
      <c r="AQ38" s="84"/>
      <c r="AR38" s="84"/>
      <c r="AS38" s="84"/>
      <c r="AT38" s="84"/>
      <c r="AU38" s="84"/>
      <c r="AV38" s="84"/>
      <c r="AW38" s="84"/>
      <c r="AX38" s="84"/>
      <c r="AY38" s="84"/>
      <c r="AZ38" s="84"/>
      <c r="BA38" s="84"/>
      <c r="BB38" s="84"/>
      <c r="BC38" s="84"/>
      <c r="BD38" s="84"/>
      <c r="BE38" s="84"/>
      <c r="BF38" s="84"/>
      <c r="BG38" s="84"/>
      <c r="BH38" s="84"/>
      <c r="BI38" s="84"/>
      <c r="BJ38" s="84"/>
      <c r="BK38" s="84"/>
      <c r="BL38" s="84"/>
      <c r="BM38" s="84"/>
      <c r="BN38" s="84"/>
      <c r="BO38" s="84"/>
      <c r="BP38" s="84"/>
    </row>
    <row r="39" spans="1:68" ht="15.75" thickBot="1">
      <c r="A39" s="2"/>
      <c r="B39" s="23"/>
      <c r="C39" s="23"/>
      <c r="D39" s="72" t="str">
        <f t="shared" si="5"/>
        <v/>
      </c>
      <c r="E39" s="171" t="str">
        <f t="shared" si="0"/>
        <v/>
      </c>
      <c r="F39" s="109" t="str">
        <f t="shared" si="6"/>
        <v/>
      </c>
      <c r="G39" s="161" t="str">
        <f t="shared" si="7"/>
        <v/>
      </c>
      <c r="H39" s="166" t="str">
        <f t="shared" si="1"/>
        <v/>
      </c>
      <c r="I39" s="166" t="str">
        <f t="shared" si="8"/>
        <v/>
      </c>
      <c r="J39" s="34" t="str">
        <f t="shared" si="2"/>
        <v/>
      </c>
      <c r="K39" s="84"/>
      <c r="L39" s="120" t="str">
        <f t="shared" si="3"/>
        <v/>
      </c>
      <c r="M39" s="119" t="str">
        <f t="shared" si="9"/>
        <v/>
      </c>
      <c r="N39" s="167" t="str">
        <f t="shared" si="4"/>
        <v/>
      </c>
      <c r="O39" s="119" t="str">
        <f t="shared" si="10"/>
        <v/>
      </c>
      <c r="P39" s="119" t="str">
        <f t="shared" si="11"/>
        <v/>
      </c>
      <c r="Q39" s="113" t="str">
        <f t="shared" si="12"/>
        <v/>
      </c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4"/>
      <c r="AW39" s="84"/>
      <c r="AX39" s="84"/>
      <c r="AY39" s="84"/>
      <c r="AZ39" s="84"/>
      <c r="BA39" s="84"/>
      <c r="BB39" s="84"/>
      <c r="BC39" s="84"/>
      <c r="BD39" s="84"/>
      <c r="BE39" s="84"/>
      <c r="BF39" s="84"/>
      <c r="BG39" s="84"/>
      <c r="BH39" s="84"/>
      <c r="BI39" s="84"/>
      <c r="BJ39" s="84"/>
      <c r="BK39" s="84"/>
      <c r="BL39" s="84"/>
      <c r="BM39" s="84"/>
      <c r="BN39" s="84"/>
      <c r="BO39" s="84"/>
      <c r="BP39" s="84"/>
    </row>
    <row r="40" spans="1:68" ht="15.75" thickBot="1">
      <c r="A40" s="2"/>
      <c r="B40" s="23"/>
      <c r="C40" s="23"/>
      <c r="D40" s="72" t="str">
        <f t="shared" si="5"/>
        <v/>
      </c>
      <c r="E40" s="171" t="str">
        <f t="shared" si="0"/>
        <v/>
      </c>
      <c r="F40" s="109" t="str">
        <f t="shared" si="6"/>
        <v/>
      </c>
      <c r="G40" s="161" t="str">
        <f t="shared" si="7"/>
        <v/>
      </c>
      <c r="H40" s="166" t="str">
        <f t="shared" si="1"/>
        <v/>
      </c>
      <c r="I40" s="166" t="str">
        <f t="shared" si="8"/>
        <v/>
      </c>
      <c r="J40" s="34" t="str">
        <f t="shared" si="2"/>
        <v/>
      </c>
      <c r="K40" s="84"/>
      <c r="L40" s="120" t="str">
        <f t="shared" si="3"/>
        <v/>
      </c>
      <c r="M40" s="119" t="str">
        <f t="shared" si="9"/>
        <v/>
      </c>
      <c r="N40" s="167" t="str">
        <f t="shared" si="4"/>
        <v/>
      </c>
      <c r="O40" s="119" t="str">
        <f t="shared" si="10"/>
        <v/>
      </c>
      <c r="P40" s="119" t="str">
        <f t="shared" si="11"/>
        <v/>
      </c>
      <c r="Q40" s="113" t="str">
        <f t="shared" si="12"/>
        <v/>
      </c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4"/>
      <c r="AS40" s="84"/>
      <c r="AT40" s="84"/>
      <c r="AU40" s="84"/>
      <c r="AV40" s="84"/>
      <c r="AW40" s="84"/>
      <c r="AX40" s="84"/>
      <c r="AY40" s="84"/>
      <c r="AZ40" s="84"/>
      <c r="BA40" s="84"/>
      <c r="BB40" s="84"/>
      <c r="BC40" s="84"/>
      <c r="BD40" s="84"/>
      <c r="BE40" s="84"/>
      <c r="BF40" s="84"/>
      <c r="BG40" s="84"/>
      <c r="BH40" s="84"/>
      <c r="BI40" s="84"/>
      <c r="BJ40" s="84"/>
      <c r="BK40" s="84"/>
      <c r="BL40" s="84"/>
      <c r="BM40" s="84"/>
      <c r="BN40" s="84"/>
      <c r="BO40" s="84"/>
      <c r="BP40" s="84"/>
    </row>
    <row r="41" spans="1:68" ht="15.75" thickBot="1">
      <c r="A41" s="2"/>
      <c r="B41" s="23"/>
      <c r="C41" s="23"/>
      <c r="D41" s="72" t="str">
        <f t="shared" si="5"/>
        <v/>
      </c>
      <c r="E41" s="171" t="str">
        <f t="shared" ref="E41:E72" si="13">IF(C41&gt;0,SQRT((G41*(1-G41))/C41),"")</f>
        <v/>
      </c>
      <c r="F41" s="109" t="str">
        <f t="shared" si="6"/>
        <v/>
      </c>
      <c r="G41" s="161" t="str">
        <f t="shared" si="7"/>
        <v/>
      </c>
      <c r="H41" s="166" t="str">
        <f t="shared" ref="H41:H72" si="14">IF(C41&gt;0,G41+E41*3,"")</f>
        <v/>
      </c>
      <c r="I41" s="166" t="str">
        <f t="shared" si="8"/>
        <v/>
      </c>
      <c r="J41" s="34" t="str">
        <f t="shared" ref="J41:J72" si="15">IF(C41&gt;0,G41-E41*3,"")</f>
        <v/>
      </c>
      <c r="K41" s="84"/>
      <c r="L41" s="120" t="str">
        <f t="shared" ref="L41:L72" si="16">IF(C41&gt;0,SQRT((N41*(1-N41))/($N$3)),"")</f>
        <v/>
      </c>
      <c r="M41" s="119" t="str">
        <f t="shared" si="9"/>
        <v/>
      </c>
      <c r="N41" s="167" t="str">
        <f t="shared" ref="N41:N72" si="17">IF(C41&gt;0,$N$2,"")</f>
        <v/>
      </c>
      <c r="O41" s="119" t="str">
        <f t="shared" si="10"/>
        <v/>
      </c>
      <c r="P41" s="119" t="str">
        <f t="shared" si="11"/>
        <v/>
      </c>
      <c r="Q41" s="113" t="str">
        <f t="shared" si="12"/>
        <v/>
      </c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84"/>
      <c r="AW41" s="84"/>
      <c r="AX41" s="84"/>
      <c r="AY41" s="84"/>
      <c r="AZ41" s="84"/>
      <c r="BA41" s="84"/>
      <c r="BB41" s="84"/>
      <c r="BC41" s="84"/>
      <c r="BD41" s="84"/>
      <c r="BE41" s="84"/>
      <c r="BF41" s="84"/>
      <c r="BG41" s="84"/>
      <c r="BH41" s="84"/>
      <c r="BI41" s="84"/>
      <c r="BJ41" s="84"/>
      <c r="BK41" s="84"/>
      <c r="BL41" s="84"/>
      <c r="BM41" s="84"/>
      <c r="BN41" s="84"/>
      <c r="BO41" s="84"/>
      <c r="BP41" s="84"/>
    </row>
    <row r="42" spans="1:68" ht="15.75" thickBot="1">
      <c r="A42" s="2"/>
      <c r="B42" s="23"/>
      <c r="C42" s="23"/>
      <c r="D42" s="72" t="str">
        <f t="shared" si="5"/>
        <v/>
      </c>
      <c r="E42" s="171" t="str">
        <f t="shared" si="13"/>
        <v/>
      </c>
      <c r="F42" s="109" t="str">
        <f t="shared" si="6"/>
        <v/>
      </c>
      <c r="G42" s="161" t="str">
        <f t="shared" si="7"/>
        <v/>
      </c>
      <c r="H42" s="166" t="str">
        <f t="shared" si="14"/>
        <v/>
      </c>
      <c r="I42" s="166" t="str">
        <f t="shared" si="8"/>
        <v/>
      </c>
      <c r="J42" s="34" t="str">
        <f t="shared" si="15"/>
        <v/>
      </c>
      <c r="K42" s="84"/>
      <c r="L42" s="120" t="str">
        <f t="shared" si="16"/>
        <v/>
      </c>
      <c r="M42" s="119" t="str">
        <f t="shared" si="9"/>
        <v/>
      </c>
      <c r="N42" s="167" t="str">
        <f t="shared" si="17"/>
        <v/>
      </c>
      <c r="O42" s="119" t="str">
        <f t="shared" si="10"/>
        <v/>
      </c>
      <c r="P42" s="119" t="str">
        <f t="shared" si="11"/>
        <v/>
      </c>
      <c r="Q42" s="113" t="str">
        <f t="shared" si="12"/>
        <v/>
      </c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4"/>
      <c r="AS42" s="84"/>
      <c r="AT42" s="84"/>
      <c r="AU42" s="84"/>
      <c r="AV42" s="84"/>
      <c r="AW42" s="84"/>
      <c r="AX42" s="84"/>
      <c r="AY42" s="84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84"/>
      <c r="BL42" s="84"/>
      <c r="BM42" s="84"/>
      <c r="BN42" s="84"/>
      <c r="BO42" s="84"/>
      <c r="BP42" s="84"/>
    </row>
    <row r="43" spans="1:68" ht="15.75" thickBot="1">
      <c r="A43" s="2"/>
      <c r="B43" s="23"/>
      <c r="C43" s="23"/>
      <c r="D43" s="72" t="str">
        <f t="shared" si="5"/>
        <v/>
      </c>
      <c r="E43" s="171" t="str">
        <f t="shared" si="13"/>
        <v/>
      </c>
      <c r="F43" s="109" t="str">
        <f t="shared" si="6"/>
        <v/>
      </c>
      <c r="G43" s="161" t="str">
        <f t="shared" si="7"/>
        <v/>
      </c>
      <c r="H43" s="166" t="str">
        <f t="shared" si="14"/>
        <v/>
      </c>
      <c r="I43" s="166" t="str">
        <f t="shared" si="8"/>
        <v/>
      </c>
      <c r="J43" s="34" t="str">
        <f t="shared" si="15"/>
        <v/>
      </c>
      <c r="K43" s="84"/>
      <c r="L43" s="120" t="str">
        <f t="shared" si="16"/>
        <v/>
      </c>
      <c r="M43" s="119" t="str">
        <f t="shared" si="9"/>
        <v/>
      </c>
      <c r="N43" s="167" t="str">
        <f t="shared" si="17"/>
        <v/>
      </c>
      <c r="O43" s="119" t="str">
        <f t="shared" si="10"/>
        <v/>
      </c>
      <c r="P43" s="119" t="str">
        <f t="shared" si="11"/>
        <v/>
      </c>
      <c r="Q43" s="113" t="str">
        <f t="shared" si="12"/>
        <v/>
      </c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4"/>
      <c r="AS43" s="84"/>
      <c r="AT43" s="84"/>
      <c r="AU43" s="84"/>
      <c r="AV43" s="84"/>
      <c r="AW43" s="84"/>
      <c r="AX43" s="84"/>
      <c r="AY43" s="84"/>
      <c r="AZ43" s="84"/>
      <c r="BA43" s="84"/>
      <c r="BB43" s="84"/>
      <c r="BC43" s="84"/>
      <c r="BD43" s="84"/>
      <c r="BE43" s="84"/>
      <c r="BF43" s="84"/>
      <c r="BG43" s="84"/>
      <c r="BH43" s="84"/>
      <c r="BI43" s="84"/>
      <c r="BJ43" s="84"/>
      <c r="BK43" s="84"/>
      <c r="BL43" s="84"/>
      <c r="BM43" s="84"/>
      <c r="BN43" s="84"/>
      <c r="BO43" s="84"/>
      <c r="BP43" s="84"/>
    </row>
    <row r="44" spans="1:68" ht="15.75" thickBot="1">
      <c r="A44" s="2"/>
      <c r="B44" s="23"/>
      <c r="C44" s="23"/>
      <c r="D44" s="72" t="str">
        <f t="shared" si="5"/>
        <v/>
      </c>
      <c r="E44" s="171" t="str">
        <f t="shared" si="13"/>
        <v/>
      </c>
      <c r="F44" s="109" t="str">
        <f t="shared" si="6"/>
        <v/>
      </c>
      <c r="G44" s="161" t="str">
        <f t="shared" si="7"/>
        <v/>
      </c>
      <c r="H44" s="166" t="str">
        <f t="shared" si="14"/>
        <v/>
      </c>
      <c r="I44" s="166" t="str">
        <f t="shared" si="8"/>
        <v/>
      </c>
      <c r="J44" s="34" t="str">
        <f t="shared" si="15"/>
        <v/>
      </c>
      <c r="K44" s="84"/>
      <c r="L44" s="120" t="str">
        <f t="shared" si="16"/>
        <v/>
      </c>
      <c r="M44" s="119" t="str">
        <f t="shared" si="9"/>
        <v/>
      </c>
      <c r="N44" s="167" t="str">
        <f t="shared" si="17"/>
        <v/>
      </c>
      <c r="O44" s="119" t="str">
        <f t="shared" si="10"/>
        <v/>
      </c>
      <c r="P44" s="119" t="str">
        <f t="shared" si="11"/>
        <v/>
      </c>
      <c r="Q44" s="113" t="str">
        <f t="shared" si="12"/>
        <v/>
      </c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4"/>
      <c r="AS44" s="84"/>
      <c r="AT44" s="84"/>
      <c r="AU44" s="84"/>
      <c r="AV44" s="84"/>
      <c r="AW44" s="84"/>
      <c r="AX44" s="84"/>
      <c r="AY44" s="84"/>
      <c r="AZ44" s="84"/>
      <c r="BA44" s="84"/>
      <c r="BB44" s="84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  <c r="BN44" s="84"/>
      <c r="BO44" s="84"/>
      <c r="BP44" s="84"/>
    </row>
    <row r="45" spans="1:68" ht="15.75" thickBot="1">
      <c r="A45" s="2"/>
      <c r="B45" s="23"/>
      <c r="C45" s="23"/>
      <c r="D45" s="72" t="str">
        <f t="shared" si="5"/>
        <v/>
      </c>
      <c r="E45" s="171" t="str">
        <f t="shared" si="13"/>
        <v/>
      </c>
      <c r="F45" s="109" t="str">
        <f t="shared" si="6"/>
        <v/>
      </c>
      <c r="G45" s="161" t="str">
        <f t="shared" si="7"/>
        <v/>
      </c>
      <c r="H45" s="166" t="str">
        <f t="shared" si="14"/>
        <v/>
      </c>
      <c r="I45" s="166" t="str">
        <f t="shared" si="8"/>
        <v/>
      </c>
      <c r="J45" s="34" t="str">
        <f t="shared" si="15"/>
        <v/>
      </c>
      <c r="K45" s="84"/>
      <c r="L45" s="120" t="str">
        <f t="shared" si="16"/>
        <v/>
      </c>
      <c r="M45" s="119" t="str">
        <f t="shared" si="9"/>
        <v/>
      </c>
      <c r="N45" s="167" t="str">
        <f t="shared" si="17"/>
        <v/>
      </c>
      <c r="O45" s="119" t="str">
        <f t="shared" si="10"/>
        <v/>
      </c>
      <c r="P45" s="119" t="str">
        <f t="shared" si="11"/>
        <v/>
      </c>
      <c r="Q45" s="113" t="str">
        <f t="shared" si="12"/>
        <v/>
      </c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  <c r="AO45" s="84"/>
      <c r="AP45" s="84"/>
      <c r="AQ45" s="84"/>
      <c r="AR45" s="84"/>
      <c r="AS45" s="84"/>
      <c r="AT45" s="84"/>
      <c r="AU45" s="84"/>
      <c r="AV45" s="84"/>
      <c r="AW45" s="84"/>
      <c r="AX45" s="84"/>
      <c r="AY45" s="84"/>
      <c r="AZ45" s="84"/>
      <c r="BA45" s="84"/>
      <c r="BB45" s="84"/>
      <c r="BC45" s="84"/>
      <c r="BD45" s="84"/>
      <c r="BE45" s="84"/>
      <c r="BF45" s="84"/>
      <c r="BG45" s="84"/>
      <c r="BH45" s="84"/>
      <c r="BI45" s="84"/>
      <c r="BJ45" s="84"/>
      <c r="BK45" s="84"/>
      <c r="BL45" s="84"/>
      <c r="BM45" s="84"/>
      <c r="BN45" s="84"/>
      <c r="BO45" s="84"/>
      <c r="BP45" s="84"/>
    </row>
    <row r="46" spans="1:68" ht="15.75" thickBot="1">
      <c r="A46" s="2"/>
      <c r="B46" s="23"/>
      <c r="C46" s="23"/>
      <c r="D46" s="72" t="str">
        <f t="shared" si="5"/>
        <v/>
      </c>
      <c r="E46" s="171" t="str">
        <f t="shared" si="13"/>
        <v/>
      </c>
      <c r="F46" s="109" t="str">
        <f t="shared" si="6"/>
        <v/>
      </c>
      <c r="G46" s="161" t="str">
        <f t="shared" si="7"/>
        <v/>
      </c>
      <c r="H46" s="166" t="str">
        <f t="shared" si="14"/>
        <v/>
      </c>
      <c r="I46" s="166" t="str">
        <f t="shared" si="8"/>
        <v/>
      </c>
      <c r="J46" s="34" t="str">
        <f t="shared" si="15"/>
        <v/>
      </c>
      <c r="K46" s="84"/>
      <c r="L46" s="120" t="str">
        <f t="shared" si="16"/>
        <v/>
      </c>
      <c r="M46" s="119" t="str">
        <f t="shared" si="9"/>
        <v/>
      </c>
      <c r="N46" s="167" t="str">
        <f t="shared" si="17"/>
        <v/>
      </c>
      <c r="O46" s="119" t="str">
        <f t="shared" si="10"/>
        <v/>
      </c>
      <c r="P46" s="119" t="str">
        <f t="shared" si="11"/>
        <v/>
      </c>
      <c r="Q46" s="113" t="str">
        <f t="shared" si="12"/>
        <v/>
      </c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  <c r="AO46" s="84"/>
      <c r="AP46" s="84"/>
      <c r="AQ46" s="84"/>
      <c r="AR46" s="84"/>
      <c r="AS46" s="84"/>
      <c r="AT46" s="84"/>
      <c r="AU46" s="84"/>
      <c r="AV46" s="84"/>
      <c r="AW46" s="84"/>
      <c r="AX46" s="84"/>
      <c r="AY46" s="84"/>
      <c r="AZ46" s="84"/>
      <c r="BA46" s="84"/>
      <c r="BB46" s="84"/>
      <c r="BC46" s="84"/>
      <c r="BD46" s="84"/>
      <c r="BE46" s="84"/>
      <c r="BF46" s="84"/>
      <c r="BG46" s="84"/>
      <c r="BH46" s="84"/>
      <c r="BI46" s="84"/>
      <c r="BJ46" s="84"/>
      <c r="BK46" s="84"/>
      <c r="BL46" s="84"/>
      <c r="BM46" s="84"/>
      <c r="BN46" s="84"/>
      <c r="BO46" s="84"/>
      <c r="BP46" s="84"/>
    </row>
    <row r="47" spans="1:68" ht="15.75" thickBot="1">
      <c r="A47" s="2"/>
      <c r="B47" s="23"/>
      <c r="C47" s="23"/>
      <c r="D47" s="72" t="str">
        <f t="shared" si="5"/>
        <v/>
      </c>
      <c r="E47" s="171" t="str">
        <f t="shared" si="13"/>
        <v/>
      </c>
      <c r="F47" s="109" t="str">
        <f t="shared" si="6"/>
        <v/>
      </c>
      <c r="G47" s="161" t="str">
        <f t="shared" si="7"/>
        <v/>
      </c>
      <c r="H47" s="166" t="str">
        <f t="shared" si="14"/>
        <v/>
      </c>
      <c r="I47" s="166" t="str">
        <f t="shared" si="8"/>
        <v/>
      </c>
      <c r="J47" s="34" t="str">
        <f t="shared" si="15"/>
        <v/>
      </c>
      <c r="K47" s="84"/>
      <c r="L47" s="120" t="str">
        <f t="shared" si="16"/>
        <v/>
      </c>
      <c r="M47" s="119" t="str">
        <f t="shared" si="9"/>
        <v/>
      </c>
      <c r="N47" s="167" t="str">
        <f t="shared" si="17"/>
        <v/>
      </c>
      <c r="O47" s="119" t="str">
        <f t="shared" si="10"/>
        <v/>
      </c>
      <c r="P47" s="119" t="str">
        <f t="shared" si="11"/>
        <v/>
      </c>
      <c r="Q47" s="113" t="str">
        <f t="shared" si="12"/>
        <v/>
      </c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  <c r="AL47" s="84"/>
      <c r="AM47" s="84"/>
      <c r="AN47" s="84"/>
      <c r="AO47" s="84"/>
      <c r="AP47" s="84"/>
      <c r="AQ47" s="84"/>
      <c r="AR47" s="84"/>
      <c r="AS47" s="84"/>
      <c r="AT47" s="84"/>
      <c r="AU47" s="84"/>
      <c r="AV47" s="84"/>
      <c r="AW47" s="84"/>
      <c r="AX47" s="84"/>
      <c r="AY47" s="84"/>
      <c r="AZ47" s="84"/>
      <c r="BA47" s="84"/>
      <c r="BB47" s="84"/>
      <c r="BC47" s="84"/>
      <c r="BD47" s="84"/>
      <c r="BE47" s="84"/>
      <c r="BF47" s="84"/>
      <c r="BG47" s="84"/>
      <c r="BH47" s="84"/>
      <c r="BI47" s="84"/>
      <c r="BJ47" s="84"/>
      <c r="BK47" s="84"/>
      <c r="BL47" s="84"/>
      <c r="BM47" s="84"/>
      <c r="BN47" s="84"/>
      <c r="BO47" s="84"/>
      <c r="BP47" s="84"/>
    </row>
    <row r="48" spans="1:68" ht="15.75" thickBot="1">
      <c r="A48" s="2"/>
      <c r="B48" s="23"/>
      <c r="C48" s="23"/>
      <c r="D48" s="72" t="str">
        <f t="shared" si="5"/>
        <v/>
      </c>
      <c r="E48" s="171" t="str">
        <f t="shared" si="13"/>
        <v/>
      </c>
      <c r="F48" s="109" t="str">
        <f t="shared" si="6"/>
        <v/>
      </c>
      <c r="G48" s="161" t="str">
        <f t="shared" si="7"/>
        <v/>
      </c>
      <c r="H48" s="166" t="str">
        <f t="shared" si="14"/>
        <v/>
      </c>
      <c r="I48" s="166" t="str">
        <f t="shared" si="8"/>
        <v/>
      </c>
      <c r="J48" s="34" t="str">
        <f t="shared" si="15"/>
        <v/>
      </c>
      <c r="K48" s="84"/>
      <c r="L48" s="120" t="str">
        <f t="shared" si="16"/>
        <v/>
      </c>
      <c r="M48" s="119" t="str">
        <f t="shared" si="9"/>
        <v/>
      </c>
      <c r="N48" s="167" t="str">
        <f t="shared" si="17"/>
        <v/>
      </c>
      <c r="O48" s="119" t="str">
        <f t="shared" si="10"/>
        <v/>
      </c>
      <c r="P48" s="119" t="str">
        <f t="shared" si="11"/>
        <v/>
      </c>
      <c r="Q48" s="113" t="str">
        <f t="shared" si="12"/>
        <v/>
      </c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  <c r="AO48" s="84"/>
      <c r="AP48" s="84"/>
      <c r="AQ48" s="84"/>
      <c r="AR48" s="84"/>
      <c r="AS48" s="84"/>
      <c r="AT48" s="84"/>
      <c r="AU48" s="84"/>
      <c r="AV48" s="84"/>
      <c r="AW48" s="84"/>
      <c r="AX48" s="84"/>
      <c r="AY48" s="84"/>
      <c r="AZ48" s="84"/>
      <c r="BA48" s="84"/>
      <c r="BB48" s="84"/>
      <c r="BC48" s="84"/>
      <c r="BD48" s="84"/>
      <c r="BE48" s="84"/>
      <c r="BF48" s="84"/>
      <c r="BG48" s="84"/>
      <c r="BH48" s="84"/>
      <c r="BI48" s="84"/>
      <c r="BJ48" s="84"/>
      <c r="BK48" s="84"/>
      <c r="BL48" s="84"/>
      <c r="BM48" s="84"/>
      <c r="BN48" s="84"/>
      <c r="BO48" s="84"/>
      <c r="BP48" s="84"/>
    </row>
    <row r="49" spans="1:68" ht="15.75" thickBot="1">
      <c r="A49" s="2"/>
      <c r="B49" s="23"/>
      <c r="C49" s="23"/>
      <c r="D49" s="72" t="str">
        <f t="shared" si="5"/>
        <v/>
      </c>
      <c r="E49" s="171" t="str">
        <f t="shared" si="13"/>
        <v/>
      </c>
      <c r="F49" s="109" t="str">
        <f t="shared" si="6"/>
        <v/>
      </c>
      <c r="G49" s="161" t="str">
        <f t="shared" si="7"/>
        <v/>
      </c>
      <c r="H49" s="166" t="str">
        <f t="shared" si="14"/>
        <v/>
      </c>
      <c r="I49" s="166" t="str">
        <f t="shared" si="8"/>
        <v/>
      </c>
      <c r="J49" s="34" t="str">
        <f t="shared" si="15"/>
        <v/>
      </c>
      <c r="K49" s="84"/>
      <c r="L49" s="120" t="str">
        <f t="shared" si="16"/>
        <v/>
      </c>
      <c r="M49" s="119" t="str">
        <f t="shared" si="9"/>
        <v/>
      </c>
      <c r="N49" s="167" t="str">
        <f t="shared" si="17"/>
        <v/>
      </c>
      <c r="O49" s="119" t="str">
        <f t="shared" si="10"/>
        <v/>
      </c>
      <c r="P49" s="119" t="str">
        <f t="shared" si="11"/>
        <v/>
      </c>
      <c r="Q49" s="113" t="str">
        <f t="shared" si="12"/>
        <v/>
      </c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  <c r="AO49" s="84"/>
      <c r="AP49" s="84"/>
      <c r="AQ49" s="84"/>
      <c r="AR49" s="84"/>
      <c r="AS49" s="84"/>
      <c r="AT49" s="84"/>
      <c r="AU49" s="84"/>
      <c r="AV49" s="84"/>
      <c r="AW49" s="84"/>
      <c r="AX49" s="84"/>
      <c r="AY49" s="84"/>
      <c r="AZ49" s="84"/>
      <c r="BA49" s="84"/>
      <c r="BB49" s="84"/>
      <c r="BC49" s="84"/>
      <c r="BD49" s="84"/>
      <c r="BE49" s="84"/>
      <c r="BF49" s="84"/>
      <c r="BG49" s="84"/>
      <c r="BH49" s="84"/>
      <c r="BI49" s="84"/>
      <c r="BJ49" s="84"/>
      <c r="BK49" s="84"/>
      <c r="BL49" s="84"/>
      <c r="BM49" s="84"/>
      <c r="BN49" s="84"/>
      <c r="BO49" s="84"/>
      <c r="BP49" s="84"/>
    </row>
    <row r="50" spans="1:68" ht="15.75" thickBot="1">
      <c r="A50" s="2"/>
      <c r="B50" s="23"/>
      <c r="C50" s="23"/>
      <c r="D50" s="72" t="str">
        <f t="shared" si="5"/>
        <v/>
      </c>
      <c r="E50" s="171" t="str">
        <f t="shared" si="13"/>
        <v/>
      </c>
      <c r="F50" s="109" t="str">
        <f t="shared" si="6"/>
        <v/>
      </c>
      <c r="G50" s="161" t="str">
        <f t="shared" si="7"/>
        <v/>
      </c>
      <c r="H50" s="166" t="str">
        <f t="shared" si="14"/>
        <v/>
      </c>
      <c r="I50" s="166" t="str">
        <f t="shared" si="8"/>
        <v/>
      </c>
      <c r="J50" s="34" t="str">
        <f t="shared" si="15"/>
        <v/>
      </c>
      <c r="K50" s="84"/>
      <c r="L50" s="120" t="str">
        <f t="shared" si="16"/>
        <v/>
      </c>
      <c r="M50" s="119" t="str">
        <f t="shared" si="9"/>
        <v/>
      </c>
      <c r="N50" s="167" t="str">
        <f t="shared" si="17"/>
        <v/>
      </c>
      <c r="O50" s="119" t="str">
        <f t="shared" si="10"/>
        <v/>
      </c>
      <c r="P50" s="119" t="str">
        <f t="shared" si="11"/>
        <v/>
      </c>
      <c r="Q50" s="113" t="str">
        <f t="shared" si="12"/>
        <v/>
      </c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</row>
    <row r="51" spans="1:68" ht="15.75" thickBot="1">
      <c r="A51" s="2"/>
      <c r="B51" s="23"/>
      <c r="C51" s="23"/>
      <c r="D51" s="72" t="str">
        <f t="shared" si="5"/>
        <v/>
      </c>
      <c r="E51" s="171" t="str">
        <f t="shared" si="13"/>
        <v/>
      </c>
      <c r="F51" s="109" t="str">
        <f t="shared" si="6"/>
        <v/>
      </c>
      <c r="G51" s="161" t="str">
        <f t="shared" si="7"/>
        <v/>
      </c>
      <c r="H51" s="166" t="str">
        <f t="shared" si="14"/>
        <v/>
      </c>
      <c r="I51" s="166" t="str">
        <f t="shared" si="8"/>
        <v/>
      </c>
      <c r="J51" s="34" t="str">
        <f t="shared" si="15"/>
        <v/>
      </c>
      <c r="K51" s="84"/>
      <c r="L51" s="120" t="str">
        <f t="shared" si="16"/>
        <v/>
      </c>
      <c r="M51" s="119" t="str">
        <f t="shared" si="9"/>
        <v/>
      </c>
      <c r="N51" s="167" t="str">
        <f t="shared" si="17"/>
        <v/>
      </c>
      <c r="O51" s="119" t="str">
        <f t="shared" si="10"/>
        <v/>
      </c>
      <c r="P51" s="119" t="str">
        <f t="shared" si="11"/>
        <v/>
      </c>
      <c r="Q51" s="113" t="str">
        <f t="shared" si="12"/>
        <v/>
      </c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4"/>
      <c r="AS51" s="84"/>
      <c r="AT51" s="84"/>
      <c r="AU51" s="84"/>
      <c r="AV51" s="84"/>
      <c r="AW51" s="84"/>
      <c r="AX51" s="84"/>
      <c r="AY51" s="84"/>
      <c r="AZ51" s="84"/>
      <c r="BA51" s="84"/>
      <c r="BB51" s="84"/>
      <c r="BC51" s="84"/>
      <c r="BD51" s="84"/>
      <c r="BE51" s="84"/>
      <c r="BF51" s="84"/>
      <c r="BG51" s="84"/>
      <c r="BH51" s="84"/>
      <c r="BI51" s="84"/>
      <c r="BJ51" s="84"/>
      <c r="BK51" s="84"/>
      <c r="BL51" s="84"/>
      <c r="BM51" s="84"/>
      <c r="BN51" s="84"/>
      <c r="BO51" s="84"/>
      <c r="BP51" s="84"/>
    </row>
    <row r="52" spans="1:68" ht="15.75" thickBot="1">
      <c r="A52" s="2"/>
      <c r="B52" s="23"/>
      <c r="C52" s="23"/>
      <c r="D52" s="72" t="str">
        <f t="shared" si="5"/>
        <v/>
      </c>
      <c r="E52" s="171" t="str">
        <f t="shared" si="13"/>
        <v/>
      </c>
      <c r="F52" s="109" t="str">
        <f t="shared" si="6"/>
        <v/>
      </c>
      <c r="G52" s="161" t="str">
        <f t="shared" si="7"/>
        <v/>
      </c>
      <c r="H52" s="166" t="str">
        <f t="shared" si="14"/>
        <v/>
      </c>
      <c r="I52" s="166" t="str">
        <f t="shared" si="8"/>
        <v/>
      </c>
      <c r="J52" s="34" t="str">
        <f t="shared" si="15"/>
        <v/>
      </c>
      <c r="K52" s="84"/>
      <c r="L52" s="120" t="str">
        <f t="shared" si="16"/>
        <v/>
      </c>
      <c r="M52" s="119" t="str">
        <f t="shared" si="9"/>
        <v/>
      </c>
      <c r="N52" s="167" t="str">
        <f t="shared" si="17"/>
        <v/>
      </c>
      <c r="O52" s="119" t="str">
        <f t="shared" si="10"/>
        <v/>
      </c>
      <c r="P52" s="119" t="str">
        <f t="shared" si="11"/>
        <v/>
      </c>
      <c r="Q52" s="113" t="str">
        <f t="shared" si="12"/>
        <v/>
      </c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4"/>
      <c r="AS52" s="84"/>
      <c r="AT52" s="84"/>
      <c r="AU52" s="84"/>
      <c r="AV52" s="84"/>
      <c r="AW52" s="84"/>
      <c r="AX52" s="84"/>
      <c r="AY52" s="84"/>
      <c r="AZ52" s="84"/>
      <c r="BA52" s="84"/>
      <c r="BB52" s="84"/>
      <c r="BC52" s="84"/>
      <c r="BD52" s="84"/>
      <c r="BE52" s="84"/>
      <c r="BF52" s="84"/>
      <c r="BG52" s="84"/>
      <c r="BH52" s="84"/>
      <c r="BI52" s="84"/>
      <c r="BJ52" s="84"/>
      <c r="BK52" s="84"/>
      <c r="BL52" s="84"/>
      <c r="BM52" s="84"/>
      <c r="BN52" s="84"/>
      <c r="BO52" s="84"/>
      <c r="BP52" s="84"/>
    </row>
    <row r="53" spans="1:68" ht="15.75" thickBot="1">
      <c r="A53" s="2"/>
      <c r="B53" s="23"/>
      <c r="C53" s="23"/>
      <c r="D53" s="72" t="str">
        <f t="shared" si="5"/>
        <v/>
      </c>
      <c r="E53" s="171" t="str">
        <f t="shared" si="13"/>
        <v/>
      </c>
      <c r="F53" s="109" t="str">
        <f t="shared" si="6"/>
        <v/>
      </c>
      <c r="G53" s="161" t="str">
        <f t="shared" si="7"/>
        <v/>
      </c>
      <c r="H53" s="166" t="str">
        <f t="shared" si="14"/>
        <v/>
      </c>
      <c r="I53" s="166" t="str">
        <f t="shared" si="8"/>
        <v/>
      </c>
      <c r="J53" s="34" t="str">
        <f t="shared" si="15"/>
        <v/>
      </c>
      <c r="K53" s="84"/>
      <c r="L53" s="120" t="str">
        <f t="shared" si="16"/>
        <v/>
      </c>
      <c r="M53" s="119" t="str">
        <f t="shared" si="9"/>
        <v/>
      </c>
      <c r="N53" s="167" t="str">
        <f t="shared" si="17"/>
        <v/>
      </c>
      <c r="O53" s="119" t="str">
        <f t="shared" si="10"/>
        <v/>
      </c>
      <c r="P53" s="119" t="str">
        <f t="shared" si="11"/>
        <v/>
      </c>
      <c r="Q53" s="113" t="str">
        <f t="shared" si="12"/>
        <v/>
      </c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  <c r="AM53" s="84"/>
      <c r="AN53" s="84"/>
      <c r="AO53" s="84"/>
      <c r="AP53" s="84"/>
      <c r="AQ53" s="84"/>
      <c r="AR53" s="84"/>
      <c r="AS53" s="84"/>
      <c r="AT53" s="84"/>
      <c r="AU53" s="84"/>
      <c r="AV53" s="84"/>
      <c r="AW53" s="84"/>
      <c r="AX53" s="84"/>
      <c r="AY53" s="84"/>
      <c r="AZ53" s="84"/>
      <c r="BA53" s="84"/>
      <c r="BB53" s="84"/>
      <c r="BC53" s="84"/>
      <c r="BD53" s="84"/>
      <c r="BE53" s="84"/>
      <c r="BF53" s="84"/>
      <c r="BG53" s="84"/>
      <c r="BH53" s="84"/>
      <c r="BI53" s="84"/>
      <c r="BJ53" s="84"/>
      <c r="BK53" s="84"/>
      <c r="BL53" s="84"/>
      <c r="BM53" s="84"/>
      <c r="BN53" s="84"/>
      <c r="BO53" s="84"/>
      <c r="BP53" s="84"/>
    </row>
    <row r="54" spans="1:68" ht="15.75" thickBot="1">
      <c r="A54" s="2"/>
      <c r="B54" s="23"/>
      <c r="C54" s="23"/>
      <c r="D54" s="72" t="str">
        <f t="shared" si="5"/>
        <v/>
      </c>
      <c r="E54" s="171" t="str">
        <f t="shared" si="13"/>
        <v/>
      </c>
      <c r="F54" s="109" t="str">
        <f t="shared" si="6"/>
        <v/>
      </c>
      <c r="G54" s="161" t="str">
        <f t="shared" si="7"/>
        <v/>
      </c>
      <c r="H54" s="166" t="str">
        <f t="shared" si="14"/>
        <v/>
      </c>
      <c r="I54" s="166" t="str">
        <f t="shared" si="8"/>
        <v/>
      </c>
      <c r="J54" s="34" t="str">
        <f t="shared" si="15"/>
        <v/>
      </c>
      <c r="K54" s="84"/>
      <c r="L54" s="120" t="str">
        <f t="shared" si="16"/>
        <v/>
      </c>
      <c r="M54" s="119" t="str">
        <f t="shared" si="9"/>
        <v/>
      </c>
      <c r="N54" s="167" t="str">
        <f t="shared" si="17"/>
        <v/>
      </c>
      <c r="O54" s="119" t="str">
        <f t="shared" si="10"/>
        <v/>
      </c>
      <c r="P54" s="119" t="str">
        <f t="shared" si="11"/>
        <v/>
      </c>
      <c r="Q54" s="113" t="str">
        <f t="shared" si="12"/>
        <v/>
      </c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84"/>
      <c r="AN54" s="84"/>
      <c r="AO54" s="84"/>
      <c r="AP54" s="84"/>
      <c r="AQ54" s="84"/>
      <c r="AR54" s="84"/>
      <c r="AS54" s="84"/>
      <c r="AT54" s="84"/>
      <c r="AU54" s="84"/>
      <c r="AV54" s="84"/>
      <c r="AW54" s="84"/>
      <c r="AX54" s="84"/>
      <c r="AY54" s="84"/>
      <c r="AZ54" s="84"/>
      <c r="BA54" s="84"/>
      <c r="BB54" s="84"/>
      <c r="BC54" s="84"/>
      <c r="BD54" s="84"/>
      <c r="BE54" s="84"/>
      <c r="BF54" s="84"/>
      <c r="BG54" s="84"/>
      <c r="BH54" s="84"/>
      <c r="BI54" s="84"/>
      <c r="BJ54" s="84"/>
      <c r="BK54" s="84"/>
      <c r="BL54" s="84"/>
      <c r="BM54" s="84"/>
      <c r="BN54" s="84"/>
      <c r="BO54" s="84"/>
      <c r="BP54" s="84"/>
    </row>
    <row r="55" spans="1:68" ht="15.75" thickBot="1">
      <c r="A55" s="2"/>
      <c r="B55" s="23"/>
      <c r="C55" s="23"/>
      <c r="D55" s="72" t="str">
        <f t="shared" si="5"/>
        <v/>
      </c>
      <c r="E55" s="171" t="str">
        <f t="shared" si="13"/>
        <v/>
      </c>
      <c r="F55" s="109" t="str">
        <f t="shared" si="6"/>
        <v/>
      </c>
      <c r="G55" s="161" t="str">
        <f t="shared" si="7"/>
        <v/>
      </c>
      <c r="H55" s="166" t="str">
        <f t="shared" si="14"/>
        <v/>
      </c>
      <c r="I55" s="166" t="str">
        <f t="shared" si="8"/>
        <v/>
      </c>
      <c r="J55" s="34" t="str">
        <f t="shared" si="15"/>
        <v/>
      </c>
      <c r="K55" s="84"/>
      <c r="L55" s="120" t="str">
        <f t="shared" si="16"/>
        <v/>
      </c>
      <c r="M55" s="119" t="str">
        <f t="shared" si="9"/>
        <v/>
      </c>
      <c r="N55" s="167" t="str">
        <f t="shared" si="17"/>
        <v/>
      </c>
      <c r="O55" s="119" t="str">
        <f t="shared" si="10"/>
        <v/>
      </c>
      <c r="P55" s="119" t="str">
        <f t="shared" si="11"/>
        <v/>
      </c>
      <c r="Q55" s="113" t="str">
        <f t="shared" si="12"/>
        <v/>
      </c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84"/>
      <c r="AN55" s="84"/>
      <c r="AO55" s="84"/>
      <c r="AP55" s="84"/>
      <c r="AQ55" s="84"/>
      <c r="AR55" s="84"/>
      <c r="AS55" s="84"/>
      <c r="AT55" s="84"/>
      <c r="AU55" s="84"/>
      <c r="AV55" s="84"/>
      <c r="AW55" s="84"/>
      <c r="AX55" s="84"/>
      <c r="AY55" s="84"/>
      <c r="AZ55" s="84"/>
      <c r="BA55" s="84"/>
      <c r="BB55" s="84"/>
      <c r="BC55" s="84"/>
      <c r="BD55" s="84"/>
      <c r="BE55" s="84"/>
      <c r="BF55" s="84"/>
      <c r="BG55" s="84"/>
      <c r="BH55" s="84"/>
      <c r="BI55" s="84"/>
      <c r="BJ55" s="84"/>
      <c r="BK55" s="84"/>
      <c r="BL55" s="84"/>
      <c r="BM55" s="84"/>
      <c r="BN55" s="84"/>
      <c r="BO55" s="84"/>
      <c r="BP55" s="84"/>
    </row>
    <row r="56" spans="1:68" ht="15.75" thickBot="1">
      <c r="A56" s="2"/>
      <c r="B56" s="23"/>
      <c r="C56" s="23"/>
      <c r="D56" s="72" t="str">
        <f t="shared" si="5"/>
        <v/>
      </c>
      <c r="E56" s="171" t="str">
        <f t="shared" si="13"/>
        <v/>
      </c>
      <c r="F56" s="109" t="str">
        <f t="shared" si="6"/>
        <v/>
      </c>
      <c r="G56" s="161" t="str">
        <f t="shared" si="7"/>
        <v/>
      </c>
      <c r="H56" s="166" t="str">
        <f t="shared" si="14"/>
        <v/>
      </c>
      <c r="I56" s="166" t="str">
        <f t="shared" si="8"/>
        <v/>
      </c>
      <c r="J56" s="34" t="str">
        <f t="shared" si="15"/>
        <v/>
      </c>
      <c r="K56" s="84"/>
      <c r="L56" s="120" t="str">
        <f t="shared" si="16"/>
        <v/>
      </c>
      <c r="M56" s="119" t="str">
        <f t="shared" si="9"/>
        <v/>
      </c>
      <c r="N56" s="167" t="str">
        <f t="shared" si="17"/>
        <v/>
      </c>
      <c r="O56" s="119" t="str">
        <f t="shared" si="10"/>
        <v/>
      </c>
      <c r="P56" s="119" t="str">
        <f t="shared" si="11"/>
        <v/>
      </c>
      <c r="Q56" s="113" t="str">
        <f t="shared" si="12"/>
        <v/>
      </c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  <c r="AN56" s="84"/>
      <c r="AO56" s="84"/>
      <c r="AP56" s="84"/>
      <c r="AQ56" s="84"/>
      <c r="AR56" s="84"/>
      <c r="AS56" s="84"/>
      <c r="AT56" s="84"/>
      <c r="AU56" s="84"/>
      <c r="AV56" s="84"/>
      <c r="AW56" s="84"/>
      <c r="AX56" s="84"/>
      <c r="AY56" s="84"/>
      <c r="AZ56" s="84"/>
      <c r="BA56" s="84"/>
      <c r="BB56" s="84"/>
      <c r="BC56" s="84"/>
      <c r="BD56" s="84"/>
      <c r="BE56" s="84"/>
      <c r="BF56" s="84"/>
      <c r="BG56" s="84"/>
      <c r="BH56" s="84"/>
      <c r="BI56" s="84"/>
      <c r="BJ56" s="84"/>
      <c r="BK56" s="84"/>
      <c r="BL56" s="84"/>
      <c r="BM56" s="84"/>
      <c r="BN56" s="84"/>
      <c r="BO56" s="84"/>
      <c r="BP56" s="84"/>
    </row>
    <row r="57" spans="1:68" ht="15.75" thickBot="1">
      <c r="A57" s="2"/>
      <c r="B57" s="23"/>
      <c r="C57" s="23"/>
      <c r="D57" s="72" t="str">
        <f t="shared" si="5"/>
        <v/>
      </c>
      <c r="E57" s="171" t="str">
        <f t="shared" si="13"/>
        <v/>
      </c>
      <c r="F57" s="109" t="str">
        <f t="shared" si="6"/>
        <v/>
      </c>
      <c r="G57" s="161" t="str">
        <f t="shared" si="7"/>
        <v/>
      </c>
      <c r="H57" s="166" t="str">
        <f t="shared" si="14"/>
        <v/>
      </c>
      <c r="I57" s="166" t="str">
        <f t="shared" si="8"/>
        <v/>
      </c>
      <c r="J57" s="34" t="str">
        <f t="shared" si="15"/>
        <v/>
      </c>
      <c r="K57" s="84"/>
      <c r="L57" s="120" t="str">
        <f t="shared" si="16"/>
        <v/>
      </c>
      <c r="M57" s="119" t="str">
        <f t="shared" si="9"/>
        <v/>
      </c>
      <c r="N57" s="167" t="str">
        <f t="shared" si="17"/>
        <v/>
      </c>
      <c r="O57" s="119" t="str">
        <f t="shared" si="10"/>
        <v/>
      </c>
      <c r="P57" s="119" t="str">
        <f t="shared" si="11"/>
        <v/>
      </c>
      <c r="Q57" s="113" t="str">
        <f t="shared" si="12"/>
        <v/>
      </c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84"/>
      <c r="AN57" s="84"/>
      <c r="AO57" s="84"/>
      <c r="AP57" s="84"/>
      <c r="AQ57" s="84"/>
      <c r="AR57" s="84"/>
      <c r="AS57" s="84"/>
      <c r="AT57" s="84"/>
      <c r="AU57" s="84"/>
      <c r="AV57" s="84"/>
      <c r="AW57" s="84"/>
      <c r="AX57" s="84"/>
      <c r="AY57" s="84"/>
      <c r="AZ57" s="84"/>
      <c r="BA57" s="84"/>
      <c r="BB57" s="84"/>
      <c r="BC57" s="84"/>
      <c r="BD57" s="84"/>
      <c r="BE57" s="84"/>
      <c r="BF57" s="84"/>
      <c r="BG57" s="84"/>
      <c r="BH57" s="84"/>
      <c r="BI57" s="84"/>
      <c r="BJ57" s="84"/>
      <c r="BK57" s="84"/>
      <c r="BL57" s="84"/>
      <c r="BM57" s="84"/>
      <c r="BN57" s="84"/>
      <c r="BO57" s="84"/>
      <c r="BP57" s="84"/>
    </row>
    <row r="58" spans="1:68" ht="15.75" thickBot="1">
      <c r="A58" s="2"/>
      <c r="B58" s="23"/>
      <c r="C58" s="23"/>
      <c r="D58" s="72" t="str">
        <f t="shared" si="5"/>
        <v/>
      </c>
      <c r="E58" s="171" t="str">
        <f t="shared" si="13"/>
        <v/>
      </c>
      <c r="F58" s="109" t="str">
        <f t="shared" si="6"/>
        <v/>
      </c>
      <c r="G58" s="161" t="str">
        <f t="shared" si="7"/>
        <v/>
      </c>
      <c r="H58" s="166" t="str">
        <f t="shared" si="14"/>
        <v/>
      </c>
      <c r="I58" s="166" t="str">
        <f t="shared" si="8"/>
        <v/>
      </c>
      <c r="J58" s="34" t="str">
        <f t="shared" si="15"/>
        <v/>
      </c>
      <c r="K58" s="84"/>
      <c r="L58" s="120" t="str">
        <f t="shared" si="16"/>
        <v/>
      </c>
      <c r="M58" s="119" t="str">
        <f t="shared" si="9"/>
        <v/>
      </c>
      <c r="N58" s="167" t="str">
        <f t="shared" si="17"/>
        <v/>
      </c>
      <c r="O58" s="119" t="str">
        <f t="shared" si="10"/>
        <v/>
      </c>
      <c r="P58" s="119" t="str">
        <f t="shared" si="11"/>
        <v/>
      </c>
      <c r="Q58" s="113" t="str">
        <f t="shared" si="12"/>
        <v/>
      </c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  <c r="AN58" s="84"/>
      <c r="AO58" s="84"/>
      <c r="AP58" s="84"/>
      <c r="AQ58" s="84"/>
      <c r="AR58" s="84"/>
      <c r="AS58" s="84"/>
      <c r="AT58" s="84"/>
      <c r="AU58" s="84"/>
      <c r="AV58" s="84"/>
      <c r="AW58" s="84"/>
      <c r="AX58" s="84"/>
      <c r="AY58" s="84"/>
      <c r="AZ58" s="84"/>
      <c r="BA58" s="84"/>
      <c r="BB58" s="84"/>
      <c r="BC58" s="84"/>
      <c r="BD58" s="84"/>
      <c r="BE58" s="84"/>
      <c r="BF58" s="84"/>
      <c r="BG58" s="84"/>
      <c r="BH58" s="84"/>
      <c r="BI58" s="84"/>
      <c r="BJ58" s="84"/>
      <c r="BK58" s="84"/>
      <c r="BL58" s="84"/>
      <c r="BM58" s="84"/>
      <c r="BN58" s="84"/>
      <c r="BO58" s="84"/>
      <c r="BP58" s="84"/>
    </row>
    <row r="59" spans="1:68" ht="15.75" thickBot="1">
      <c r="A59" s="2"/>
      <c r="B59" s="23"/>
      <c r="C59" s="23"/>
      <c r="D59" s="72" t="str">
        <f t="shared" si="5"/>
        <v/>
      </c>
      <c r="E59" s="171" t="str">
        <f t="shared" si="13"/>
        <v/>
      </c>
      <c r="F59" s="109" t="str">
        <f t="shared" si="6"/>
        <v/>
      </c>
      <c r="G59" s="161" t="str">
        <f t="shared" si="7"/>
        <v/>
      </c>
      <c r="H59" s="166" t="str">
        <f t="shared" si="14"/>
        <v/>
      </c>
      <c r="I59" s="166" t="str">
        <f t="shared" si="8"/>
        <v/>
      </c>
      <c r="J59" s="34" t="str">
        <f t="shared" si="15"/>
        <v/>
      </c>
      <c r="K59" s="84"/>
      <c r="L59" s="120" t="str">
        <f t="shared" si="16"/>
        <v/>
      </c>
      <c r="M59" s="119" t="str">
        <f t="shared" si="9"/>
        <v/>
      </c>
      <c r="N59" s="167" t="str">
        <f t="shared" si="17"/>
        <v/>
      </c>
      <c r="O59" s="119" t="str">
        <f t="shared" si="10"/>
        <v/>
      </c>
      <c r="P59" s="119" t="str">
        <f t="shared" si="11"/>
        <v/>
      </c>
      <c r="Q59" s="113" t="str">
        <f t="shared" si="12"/>
        <v/>
      </c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  <c r="BH59" s="84"/>
      <c r="BI59" s="84"/>
      <c r="BJ59" s="84"/>
      <c r="BK59" s="84"/>
      <c r="BL59" s="84"/>
      <c r="BM59" s="84"/>
      <c r="BN59" s="84"/>
      <c r="BO59" s="84"/>
      <c r="BP59" s="84"/>
    </row>
    <row r="60" spans="1:68" ht="15.75" thickBot="1">
      <c r="A60" s="2"/>
      <c r="B60" s="23"/>
      <c r="C60" s="23"/>
      <c r="D60" s="72" t="str">
        <f t="shared" si="5"/>
        <v/>
      </c>
      <c r="E60" s="171" t="str">
        <f t="shared" si="13"/>
        <v/>
      </c>
      <c r="F60" s="109" t="str">
        <f t="shared" si="6"/>
        <v/>
      </c>
      <c r="G60" s="161" t="str">
        <f t="shared" si="7"/>
        <v/>
      </c>
      <c r="H60" s="166" t="str">
        <f t="shared" si="14"/>
        <v/>
      </c>
      <c r="I60" s="166" t="str">
        <f t="shared" si="8"/>
        <v/>
      </c>
      <c r="J60" s="34" t="str">
        <f t="shared" si="15"/>
        <v/>
      </c>
      <c r="K60" s="84"/>
      <c r="L60" s="120" t="str">
        <f t="shared" si="16"/>
        <v/>
      </c>
      <c r="M60" s="119" t="str">
        <f t="shared" si="9"/>
        <v/>
      </c>
      <c r="N60" s="167" t="str">
        <f t="shared" si="17"/>
        <v/>
      </c>
      <c r="O60" s="119" t="str">
        <f t="shared" si="10"/>
        <v/>
      </c>
      <c r="P60" s="119" t="str">
        <f t="shared" si="11"/>
        <v/>
      </c>
      <c r="Q60" s="113" t="str">
        <f t="shared" si="12"/>
        <v/>
      </c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  <c r="AO60" s="84"/>
      <c r="AP60" s="84"/>
      <c r="AQ60" s="84"/>
      <c r="AR60" s="84"/>
      <c r="AS60" s="84"/>
      <c r="AT60" s="84"/>
      <c r="AU60" s="84"/>
      <c r="AV60" s="84"/>
      <c r="AW60" s="84"/>
      <c r="AX60" s="84"/>
      <c r="AY60" s="84"/>
      <c r="AZ60" s="84"/>
      <c r="BA60" s="84"/>
      <c r="BB60" s="84"/>
      <c r="BC60" s="84"/>
      <c r="BD60" s="84"/>
      <c r="BE60" s="84"/>
      <c r="BF60" s="84"/>
      <c r="BG60" s="84"/>
      <c r="BH60" s="84"/>
      <c r="BI60" s="84"/>
      <c r="BJ60" s="84"/>
      <c r="BK60" s="84"/>
      <c r="BL60" s="84"/>
      <c r="BM60" s="84"/>
      <c r="BN60" s="84"/>
      <c r="BO60" s="84"/>
      <c r="BP60" s="84"/>
    </row>
    <row r="61" spans="1:68" ht="15.75" thickBot="1">
      <c r="A61" s="2"/>
      <c r="B61" s="23"/>
      <c r="C61" s="23"/>
      <c r="D61" s="72" t="str">
        <f t="shared" si="5"/>
        <v/>
      </c>
      <c r="E61" s="171" t="str">
        <f t="shared" si="13"/>
        <v/>
      </c>
      <c r="F61" s="109" t="str">
        <f t="shared" si="6"/>
        <v/>
      </c>
      <c r="G61" s="161" t="str">
        <f t="shared" si="7"/>
        <v/>
      </c>
      <c r="H61" s="166" t="str">
        <f t="shared" si="14"/>
        <v/>
      </c>
      <c r="I61" s="166" t="str">
        <f t="shared" si="8"/>
        <v/>
      </c>
      <c r="J61" s="34" t="str">
        <f t="shared" si="15"/>
        <v/>
      </c>
      <c r="K61" s="84"/>
      <c r="L61" s="120" t="str">
        <f t="shared" si="16"/>
        <v/>
      </c>
      <c r="M61" s="119" t="str">
        <f t="shared" si="9"/>
        <v/>
      </c>
      <c r="N61" s="167" t="str">
        <f t="shared" si="17"/>
        <v/>
      </c>
      <c r="O61" s="119" t="str">
        <f t="shared" si="10"/>
        <v/>
      </c>
      <c r="P61" s="119" t="str">
        <f t="shared" si="11"/>
        <v/>
      </c>
      <c r="Q61" s="113" t="str">
        <f t="shared" si="12"/>
        <v/>
      </c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  <c r="AO61" s="84"/>
      <c r="AP61" s="84"/>
      <c r="AQ61" s="84"/>
      <c r="AR61" s="84"/>
      <c r="AS61" s="84"/>
      <c r="AT61" s="84"/>
      <c r="AU61" s="84"/>
      <c r="AV61" s="84"/>
      <c r="AW61" s="84"/>
      <c r="AX61" s="84"/>
      <c r="AY61" s="84"/>
      <c r="AZ61" s="84"/>
      <c r="BA61" s="84"/>
      <c r="BB61" s="84"/>
      <c r="BC61" s="84"/>
      <c r="BD61" s="84"/>
      <c r="BE61" s="84"/>
      <c r="BF61" s="84"/>
      <c r="BG61" s="84"/>
      <c r="BH61" s="84"/>
      <c r="BI61" s="84"/>
      <c r="BJ61" s="84"/>
      <c r="BK61" s="84"/>
      <c r="BL61" s="84"/>
      <c r="BM61" s="84"/>
      <c r="BN61" s="84"/>
      <c r="BO61" s="84"/>
      <c r="BP61" s="84"/>
    </row>
    <row r="62" spans="1:68" ht="15.75" thickBot="1">
      <c r="A62" s="2"/>
      <c r="B62" s="23"/>
      <c r="C62" s="23"/>
      <c r="D62" s="72" t="str">
        <f t="shared" si="5"/>
        <v/>
      </c>
      <c r="E62" s="171" t="str">
        <f t="shared" si="13"/>
        <v/>
      </c>
      <c r="F62" s="109" t="str">
        <f t="shared" si="6"/>
        <v/>
      </c>
      <c r="G62" s="161" t="str">
        <f t="shared" si="7"/>
        <v/>
      </c>
      <c r="H62" s="166" t="str">
        <f t="shared" si="14"/>
        <v/>
      </c>
      <c r="I62" s="166" t="str">
        <f t="shared" si="8"/>
        <v/>
      </c>
      <c r="J62" s="34" t="str">
        <f t="shared" si="15"/>
        <v/>
      </c>
      <c r="K62" s="84"/>
      <c r="L62" s="120" t="str">
        <f t="shared" si="16"/>
        <v/>
      </c>
      <c r="M62" s="119" t="str">
        <f t="shared" si="9"/>
        <v/>
      </c>
      <c r="N62" s="167" t="str">
        <f t="shared" si="17"/>
        <v/>
      </c>
      <c r="O62" s="119" t="str">
        <f t="shared" si="10"/>
        <v/>
      </c>
      <c r="P62" s="119" t="str">
        <f t="shared" si="11"/>
        <v/>
      </c>
      <c r="Q62" s="113" t="str">
        <f t="shared" si="12"/>
        <v/>
      </c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  <c r="AO62" s="84"/>
      <c r="AP62" s="84"/>
      <c r="AQ62" s="84"/>
      <c r="AR62" s="84"/>
      <c r="AS62" s="84"/>
      <c r="AT62" s="84"/>
      <c r="AU62" s="84"/>
      <c r="AV62" s="84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  <c r="BH62" s="84"/>
      <c r="BI62" s="84"/>
      <c r="BJ62" s="84"/>
      <c r="BK62" s="84"/>
      <c r="BL62" s="84"/>
      <c r="BM62" s="84"/>
      <c r="BN62" s="84"/>
      <c r="BO62" s="84"/>
      <c r="BP62" s="84"/>
    </row>
    <row r="63" spans="1:68" ht="15.75" thickBot="1">
      <c r="A63" s="2"/>
      <c r="B63" s="23"/>
      <c r="C63" s="23"/>
      <c r="D63" s="72" t="str">
        <f t="shared" si="5"/>
        <v/>
      </c>
      <c r="E63" s="171" t="str">
        <f t="shared" si="13"/>
        <v/>
      </c>
      <c r="F63" s="109" t="str">
        <f t="shared" si="6"/>
        <v/>
      </c>
      <c r="G63" s="161" t="str">
        <f t="shared" si="7"/>
        <v/>
      </c>
      <c r="H63" s="166" t="str">
        <f t="shared" si="14"/>
        <v/>
      </c>
      <c r="I63" s="166" t="str">
        <f t="shared" si="8"/>
        <v/>
      </c>
      <c r="J63" s="34" t="str">
        <f t="shared" si="15"/>
        <v/>
      </c>
      <c r="K63" s="84"/>
      <c r="L63" s="120" t="str">
        <f t="shared" si="16"/>
        <v/>
      </c>
      <c r="M63" s="119" t="str">
        <f t="shared" si="9"/>
        <v/>
      </c>
      <c r="N63" s="167" t="str">
        <f t="shared" si="17"/>
        <v/>
      </c>
      <c r="O63" s="119" t="str">
        <f t="shared" si="10"/>
        <v/>
      </c>
      <c r="P63" s="119" t="str">
        <f t="shared" si="11"/>
        <v/>
      </c>
      <c r="Q63" s="113" t="str">
        <f t="shared" si="12"/>
        <v/>
      </c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84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  <c r="BH63" s="84"/>
      <c r="BI63" s="84"/>
      <c r="BJ63" s="84"/>
      <c r="BK63" s="84"/>
      <c r="BL63" s="84"/>
      <c r="BM63" s="84"/>
      <c r="BN63" s="84"/>
      <c r="BO63" s="84"/>
      <c r="BP63" s="84"/>
    </row>
    <row r="64" spans="1:68" ht="15.75" thickBot="1">
      <c r="A64" s="2"/>
      <c r="B64" s="23"/>
      <c r="C64" s="23"/>
      <c r="D64" s="72" t="str">
        <f t="shared" si="5"/>
        <v/>
      </c>
      <c r="E64" s="171" t="str">
        <f t="shared" si="13"/>
        <v/>
      </c>
      <c r="F64" s="109" t="str">
        <f t="shared" si="6"/>
        <v/>
      </c>
      <c r="G64" s="161" t="str">
        <f t="shared" si="7"/>
        <v/>
      </c>
      <c r="H64" s="166" t="str">
        <f t="shared" si="14"/>
        <v/>
      </c>
      <c r="I64" s="166" t="str">
        <f t="shared" si="8"/>
        <v/>
      </c>
      <c r="J64" s="34" t="str">
        <f t="shared" si="15"/>
        <v/>
      </c>
      <c r="K64" s="84"/>
      <c r="L64" s="120" t="str">
        <f t="shared" si="16"/>
        <v/>
      </c>
      <c r="M64" s="119" t="str">
        <f t="shared" si="9"/>
        <v/>
      </c>
      <c r="N64" s="167" t="str">
        <f t="shared" si="17"/>
        <v/>
      </c>
      <c r="O64" s="119" t="str">
        <f t="shared" si="10"/>
        <v/>
      </c>
      <c r="P64" s="119" t="str">
        <f t="shared" si="11"/>
        <v/>
      </c>
      <c r="Q64" s="113" t="str">
        <f t="shared" si="12"/>
        <v/>
      </c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  <c r="BH64" s="84"/>
      <c r="BI64" s="84"/>
      <c r="BJ64" s="84"/>
      <c r="BK64" s="84"/>
      <c r="BL64" s="84"/>
      <c r="BM64" s="84"/>
      <c r="BN64" s="84"/>
      <c r="BO64" s="84"/>
      <c r="BP64" s="84"/>
    </row>
    <row r="65" spans="1:68" ht="15.75" thickBot="1">
      <c r="A65" s="2"/>
      <c r="B65" s="23"/>
      <c r="C65" s="23"/>
      <c r="D65" s="72" t="str">
        <f t="shared" si="5"/>
        <v/>
      </c>
      <c r="E65" s="171" t="str">
        <f t="shared" si="13"/>
        <v/>
      </c>
      <c r="F65" s="109" t="str">
        <f t="shared" si="6"/>
        <v/>
      </c>
      <c r="G65" s="161" t="str">
        <f t="shared" si="7"/>
        <v/>
      </c>
      <c r="H65" s="166" t="str">
        <f t="shared" si="14"/>
        <v/>
      </c>
      <c r="I65" s="166" t="str">
        <f t="shared" si="8"/>
        <v/>
      </c>
      <c r="J65" s="34" t="str">
        <f t="shared" si="15"/>
        <v/>
      </c>
      <c r="K65" s="84"/>
      <c r="L65" s="120" t="str">
        <f t="shared" si="16"/>
        <v/>
      </c>
      <c r="M65" s="119" t="str">
        <f t="shared" si="9"/>
        <v/>
      </c>
      <c r="N65" s="167" t="str">
        <f t="shared" si="17"/>
        <v/>
      </c>
      <c r="O65" s="119" t="str">
        <f t="shared" si="10"/>
        <v/>
      </c>
      <c r="P65" s="119" t="str">
        <f t="shared" si="11"/>
        <v/>
      </c>
      <c r="Q65" s="113" t="str">
        <f t="shared" si="12"/>
        <v/>
      </c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  <c r="AN65" s="84"/>
      <c r="AO65" s="84"/>
      <c r="AP65" s="84"/>
      <c r="AQ65" s="84"/>
      <c r="AR65" s="84"/>
      <c r="AS65" s="84"/>
      <c r="AT65" s="84"/>
      <c r="AU65" s="84"/>
      <c r="AV65" s="84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  <c r="BH65" s="84"/>
      <c r="BI65" s="84"/>
      <c r="BJ65" s="84"/>
      <c r="BK65" s="84"/>
      <c r="BL65" s="84"/>
      <c r="BM65" s="84"/>
      <c r="BN65" s="84"/>
      <c r="BO65" s="84"/>
      <c r="BP65" s="84"/>
    </row>
    <row r="66" spans="1:68" ht="15.75" thickBot="1">
      <c r="A66" s="2"/>
      <c r="B66" s="23"/>
      <c r="C66" s="23"/>
      <c r="D66" s="72" t="str">
        <f t="shared" si="5"/>
        <v/>
      </c>
      <c r="E66" s="171" t="str">
        <f t="shared" si="13"/>
        <v/>
      </c>
      <c r="F66" s="109" t="str">
        <f t="shared" si="6"/>
        <v/>
      </c>
      <c r="G66" s="161" t="str">
        <f t="shared" si="7"/>
        <v/>
      </c>
      <c r="H66" s="166" t="str">
        <f t="shared" si="14"/>
        <v/>
      </c>
      <c r="I66" s="166" t="str">
        <f t="shared" si="8"/>
        <v/>
      </c>
      <c r="J66" s="34" t="str">
        <f t="shared" si="15"/>
        <v/>
      </c>
      <c r="K66" s="84"/>
      <c r="L66" s="120" t="str">
        <f t="shared" si="16"/>
        <v/>
      </c>
      <c r="M66" s="119" t="str">
        <f t="shared" si="9"/>
        <v/>
      </c>
      <c r="N66" s="167" t="str">
        <f t="shared" si="17"/>
        <v/>
      </c>
      <c r="O66" s="119" t="str">
        <f t="shared" si="10"/>
        <v/>
      </c>
      <c r="P66" s="119" t="str">
        <f t="shared" si="11"/>
        <v/>
      </c>
      <c r="Q66" s="113" t="str">
        <f t="shared" si="12"/>
        <v/>
      </c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  <c r="AL66" s="84"/>
      <c r="AM66" s="84"/>
      <c r="AN66" s="84"/>
      <c r="AO66" s="84"/>
      <c r="AP66" s="84"/>
      <c r="AQ66" s="84"/>
      <c r="AR66" s="84"/>
      <c r="AS66" s="84"/>
      <c r="AT66" s="84"/>
      <c r="AU66" s="84"/>
      <c r="AV66" s="84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  <c r="BH66" s="84"/>
      <c r="BI66" s="84"/>
      <c r="BJ66" s="84"/>
      <c r="BK66" s="84"/>
      <c r="BL66" s="84"/>
      <c r="BM66" s="84"/>
      <c r="BN66" s="84"/>
      <c r="BO66" s="84"/>
      <c r="BP66" s="84"/>
    </row>
    <row r="67" spans="1:68" ht="15.75" thickBot="1">
      <c r="A67" s="2"/>
      <c r="B67" s="23"/>
      <c r="C67" s="23"/>
      <c r="D67" s="72" t="str">
        <f t="shared" si="5"/>
        <v/>
      </c>
      <c r="E67" s="171" t="str">
        <f t="shared" si="13"/>
        <v/>
      </c>
      <c r="F67" s="109" t="str">
        <f t="shared" si="6"/>
        <v/>
      </c>
      <c r="G67" s="161" t="str">
        <f t="shared" si="7"/>
        <v/>
      </c>
      <c r="H67" s="166" t="str">
        <f t="shared" si="14"/>
        <v/>
      </c>
      <c r="I67" s="166" t="str">
        <f t="shared" si="8"/>
        <v/>
      </c>
      <c r="J67" s="34" t="str">
        <f t="shared" si="15"/>
        <v/>
      </c>
      <c r="K67" s="84"/>
      <c r="L67" s="120" t="str">
        <f t="shared" si="16"/>
        <v/>
      </c>
      <c r="M67" s="119" t="str">
        <f t="shared" si="9"/>
        <v/>
      </c>
      <c r="N67" s="167" t="str">
        <f t="shared" si="17"/>
        <v/>
      </c>
      <c r="O67" s="119" t="str">
        <f t="shared" si="10"/>
        <v/>
      </c>
      <c r="P67" s="119" t="str">
        <f t="shared" si="11"/>
        <v/>
      </c>
      <c r="Q67" s="113" t="str">
        <f t="shared" si="12"/>
        <v/>
      </c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  <c r="AN67" s="84"/>
      <c r="AO67" s="84"/>
      <c r="AP67" s="84"/>
      <c r="AQ67" s="84"/>
      <c r="AR67" s="84"/>
      <c r="AS67" s="84"/>
      <c r="AT67" s="84"/>
      <c r="AU67" s="84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  <c r="BN67" s="84"/>
      <c r="BO67" s="84"/>
      <c r="BP67" s="84"/>
    </row>
    <row r="68" spans="1:68" ht="15.75" thickBot="1">
      <c r="A68" s="2"/>
      <c r="B68" s="23"/>
      <c r="C68" s="23"/>
      <c r="D68" s="72" t="str">
        <f t="shared" si="5"/>
        <v/>
      </c>
      <c r="E68" s="171" t="str">
        <f t="shared" si="13"/>
        <v/>
      </c>
      <c r="F68" s="109" t="str">
        <f t="shared" si="6"/>
        <v/>
      </c>
      <c r="G68" s="161" t="str">
        <f t="shared" si="7"/>
        <v/>
      </c>
      <c r="H68" s="166" t="str">
        <f t="shared" si="14"/>
        <v/>
      </c>
      <c r="I68" s="166" t="str">
        <f t="shared" si="8"/>
        <v/>
      </c>
      <c r="J68" s="34" t="str">
        <f t="shared" si="15"/>
        <v/>
      </c>
      <c r="K68" s="84"/>
      <c r="L68" s="120" t="str">
        <f t="shared" si="16"/>
        <v/>
      </c>
      <c r="M68" s="119" t="str">
        <f t="shared" si="9"/>
        <v/>
      </c>
      <c r="N68" s="167" t="str">
        <f t="shared" si="17"/>
        <v/>
      </c>
      <c r="O68" s="119" t="str">
        <f t="shared" si="10"/>
        <v/>
      </c>
      <c r="P68" s="119" t="str">
        <f t="shared" si="11"/>
        <v/>
      </c>
      <c r="Q68" s="113" t="str">
        <f t="shared" si="12"/>
        <v/>
      </c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  <c r="AN68" s="84"/>
      <c r="AO68" s="84"/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  <c r="BH68" s="84"/>
      <c r="BI68" s="84"/>
      <c r="BJ68" s="84"/>
      <c r="BK68" s="84"/>
      <c r="BL68" s="84"/>
      <c r="BM68" s="84"/>
      <c r="BN68" s="84"/>
      <c r="BO68" s="84"/>
      <c r="BP68" s="84"/>
    </row>
    <row r="69" spans="1:68" ht="15.75" thickBot="1">
      <c r="A69" s="2"/>
      <c r="B69" s="23"/>
      <c r="C69" s="23"/>
      <c r="D69" s="72" t="str">
        <f t="shared" si="5"/>
        <v/>
      </c>
      <c r="E69" s="171" t="str">
        <f t="shared" si="13"/>
        <v/>
      </c>
      <c r="F69" s="109" t="str">
        <f t="shared" si="6"/>
        <v/>
      </c>
      <c r="G69" s="161" t="str">
        <f t="shared" si="7"/>
        <v/>
      </c>
      <c r="H69" s="166" t="str">
        <f t="shared" si="14"/>
        <v/>
      </c>
      <c r="I69" s="166" t="str">
        <f t="shared" si="8"/>
        <v/>
      </c>
      <c r="J69" s="34" t="str">
        <f t="shared" si="15"/>
        <v/>
      </c>
      <c r="K69" s="84"/>
      <c r="L69" s="120" t="str">
        <f t="shared" si="16"/>
        <v/>
      </c>
      <c r="M69" s="119" t="str">
        <f t="shared" si="9"/>
        <v/>
      </c>
      <c r="N69" s="167" t="str">
        <f t="shared" si="17"/>
        <v/>
      </c>
      <c r="O69" s="119" t="str">
        <f t="shared" si="10"/>
        <v/>
      </c>
      <c r="P69" s="119" t="str">
        <f t="shared" si="11"/>
        <v/>
      </c>
      <c r="Q69" s="113" t="str">
        <f t="shared" si="12"/>
        <v/>
      </c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  <c r="AN69" s="84"/>
      <c r="AO69" s="84"/>
      <c r="AP69" s="84"/>
      <c r="AQ69" s="84"/>
      <c r="AR69" s="84"/>
      <c r="AS69" s="84"/>
      <c r="AT69" s="84"/>
      <c r="AU69" s="84"/>
      <c r="AV69" s="84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  <c r="BH69" s="84"/>
      <c r="BI69" s="84"/>
      <c r="BJ69" s="84"/>
      <c r="BK69" s="84"/>
      <c r="BL69" s="84"/>
      <c r="BM69" s="84"/>
      <c r="BN69" s="84"/>
      <c r="BO69" s="84"/>
      <c r="BP69" s="84"/>
    </row>
    <row r="70" spans="1:68" ht="15.75" thickBot="1">
      <c r="A70" s="2"/>
      <c r="B70" s="23"/>
      <c r="C70" s="23"/>
      <c r="D70" s="72" t="str">
        <f t="shared" si="5"/>
        <v/>
      </c>
      <c r="E70" s="171" t="str">
        <f t="shared" si="13"/>
        <v/>
      </c>
      <c r="F70" s="109" t="str">
        <f t="shared" si="6"/>
        <v/>
      </c>
      <c r="G70" s="161" t="str">
        <f t="shared" si="7"/>
        <v/>
      </c>
      <c r="H70" s="166" t="str">
        <f t="shared" si="14"/>
        <v/>
      </c>
      <c r="I70" s="166" t="str">
        <f t="shared" si="8"/>
        <v/>
      </c>
      <c r="J70" s="34" t="str">
        <f t="shared" si="15"/>
        <v/>
      </c>
      <c r="K70" s="84"/>
      <c r="L70" s="120" t="str">
        <f t="shared" si="16"/>
        <v/>
      </c>
      <c r="M70" s="119" t="str">
        <f t="shared" si="9"/>
        <v/>
      </c>
      <c r="N70" s="167" t="str">
        <f t="shared" si="17"/>
        <v/>
      </c>
      <c r="O70" s="119" t="str">
        <f t="shared" si="10"/>
        <v/>
      </c>
      <c r="P70" s="119" t="str">
        <f t="shared" si="11"/>
        <v/>
      </c>
      <c r="Q70" s="113" t="str">
        <f t="shared" si="12"/>
        <v/>
      </c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84"/>
      <c r="BN70" s="84"/>
      <c r="BO70" s="84"/>
      <c r="BP70" s="84"/>
    </row>
    <row r="71" spans="1:68" ht="15.75" thickBot="1">
      <c r="A71" s="2"/>
      <c r="B71" s="23"/>
      <c r="C71" s="23"/>
      <c r="D71" s="72" t="str">
        <f t="shared" si="5"/>
        <v/>
      </c>
      <c r="E71" s="171" t="str">
        <f t="shared" si="13"/>
        <v/>
      </c>
      <c r="F71" s="109" t="str">
        <f t="shared" si="6"/>
        <v/>
      </c>
      <c r="G71" s="161" t="str">
        <f t="shared" si="7"/>
        <v/>
      </c>
      <c r="H71" s="166" t="str">
        <f t="shared" si="14"/>
        <v/>
      </c>
      <c r="I71" s="166" t="str">
        <f t="shared" si="8"/>
        <v/>
      </c>
      <c r="J71" s="34" t="str">
        <f t="shared" si="15"/>
        <v/>
      </c>
      <c r="K71" s="84"/>
      <c r="L71" s="120" t="str">
        <f t="shared" si="16"/>
        <v/>
      </c>
      <c r="M71" s="119" t="str">
        <f t="shared" si="9"/>
        <v/>
      </c>
      <c r="N71" s="167" t="str">
        <f t="shared" si="17"/>
        <v/>
      </c>
      <c r="O71" s="119" t="str">
        <f t="shared" si="10"/>
        <v/>
      </c>
      <c r="P71" s="119" t="str">
        <f t="shared" si="11"/>
        <v/>
      </c>
      <c r="Q71" s="113" t="str">
        <f t="shared" si="12"/>
        <v/>
      </c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4"/>
      <c r="AL71" s="84"/>
      <c r="AM71" s="84"/>
      <c r="AN71" s="84"/>
      <c r="AO71" s="84"/>
      <c r="AP71" s="84"/>
      <c r="AQ71" s="84"/>
      <c r="AR71" s="84"/>
      <c r="AS71" s="84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</row>
    <row r="72" spans="1:68" ht="15.75" thickBot="1">
      <c r="A72" s="2"/>
      <c r="B72" s="23"/>
      <c r="C72" s="23"/>
      <c r="D72" s="72" t="str">
        <f t="shared" si="5"/>
        <v/>
      </c>
      <c r="E72" s="171" t="str">
        <f t="shared" si="13"/>
        <v/>
      </c>
      <c r="F72" s="109" t="str">
        <f t="shared" si="6"/>
        <v/>
      </c>
      <c r="G72" s="161" t="str">
        <f t="shared" si="7"/>
        <v/>
      </c>
      <c r="H72" s="166" t="str">
        <f t="shared" si="14"/>
        <v/>
      </c>
      <c r="I72" s="166" t="str">
        <f t="shared" si="8"/>
        <v/>
      </c>
      <c r="J72" s="34" t="str">
        <f t="shared" si="15"/>
        <v/>
      </c>
      <c r="K72" s="84"/>
      <c r="L72" s="120" t="str">
        <f t="shared" si="16"/>
        <v/>
      </c>
      <c r="M72" s="119" t="str">
        <f t="shared" si="9"/>
        <v/>
      </c>
      <c r="N72" s="167" t="str">
        <f t="shared" si="17"/>
        <v/>
      </c>
      <c r="O72" s="119" t="str">
        <f t="shared" si="10"/>
        <v/>
      </c>
      <c r="P72" s="119" t="str">
        <f t="shared" si="11"/>
        <v/>
      </c>
      <c r="Q72" s="113" t="str">
        <f t="shared" si="12"/>
        <v/>
      </c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  <c r="AO72" s="84"/>
      <c r="AP72" s="84"/>
      <c r="AQ72" s="84"/>
      <c r="AR72" s="84"/>
      <c r="AS72" s="84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</row>
    <row r="73" spans="1:68" ht="15.75" thickBot="1">
      <c r="A73" s="2"/>
      <c r="B73" s="23"/>
      <c r="C73" s="23"/>
      <c r="D73" s="72" t="str">
        <f t="shared" si="5"/>
        <v/>
      </c>
      <c r="E73" s="171" t="str">
        <f t="shared" ref="E73:E104" si="18">IF(C73&gt;0,SQRT((G73*(1-G73))/C73),"")</f>
        <v/>
      </c>
      <c r="F73" s="109" t="str">
        <f t="shared" si="6"/>
        <v/>
      </c>
      <c r="G73" s="161" t="str">
        <f t="shared" si="7"/>
        <v/>
      </c>
      <c r="H73" s="166" t="str">
        <f t="shared" ref="H73:H104" si="19">IF(C73&gt;0,G73+E73*3,"")</f>
        <v/>
      </c>
      <c r="I73" s="166" t="str">
        <f t="shared" si="8"/>
        <v/>
      </c>
      <c r="J73" s="34" t="str">
        <f t="shared" ref="J73:J104" si="20">IF(C73&gt;0,G73-E73*3,"")</f>
        <v/>
      </c>
      <c r="K73" s="84"/>
      <c r="L73" s="120" t="str">
        <f t="shared" ref="L73:L104" si="21">IF(C73&gt;0,SQRT((N73*(1-N73))/($N$3)),"")</f>
        <v/>
      </c>
      <c r="M73" s="119" t="str">
        <f t="shared" si="9"/>
        <v/>
      </c>
      <c r="N73" s="167" t="str">
        <f t="shared" ref="N73:N104" si="22">IF(C73&gt;0,$N$2,"")</f>
        <v/>
      </c>
      <c r="O73" s="119" t="str">
        <f t="shared" si="10"/>
        <v/>
      </c>
      <c r="P73" s="119" t="str">
        <f t="shared" si="11"/>
        <v/>
      </c>
      <c r="Q73" s="113" t="str">
        <f t="shared" si="12"/>
        <v/>
      </c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  <c r="AN73" s="84"/>
      <c r="AO73" s="84"/>
      <c r="AP73" s="84"/>
      <c r="AQ73" s="84"/>
      <c r="AR73" s="84"/>
      <c r="AS73" s="84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</row>
    <row r="74" spans="1:68" ht="15.75" thickBot="1">
      <c r="A74" s="2"/>
      <c r="B74" s="23"/>
      <c r="C74" s="23"/>
      <c r="D74" s="72" t="str">
        <f t="shared" ref="D74:D116" si="23">IF(C74&lt;&gt;0,B74/C74,"")</f>
        <v/>
      </c>
      <c r="E74" s="171" t="str">
        <f t="shared" si="18"/>
        <v/>
      </c>
      <c r="F74" s="109" t="str">
        <f t="shared" ref="F74:F116" si="24">D74</f>
        <v/>
      </c>
      <c r="G74" s="161" t="str">
        <f t="shared" ref="G74:G116" si="25">IF(C74&gt;0,SUM($B$9:$B$116)/SUM($C$9:$C$116),"")</f>
        <v/>
      </c>
      <c r="H74" s="166" t="str">
        <f t="shared" si="19"/>
        <v/>
      </c>
      <c r="I74" s="166" t="str">
        <f t="shared" ref="I74:I116" si="26">IF(J74&lt;0,0,J74)</f>
        <v/>
      </c>
      <c r="J74" s="34" t="str">
        <f t="shared" si="20"/>
        <v/>
      </c>
      <c r="K74" s="84"/>
      <c r="L74" s="120" t="str">
        <f t="shared" si="21"/>
        <v/>
      </c>
      <c r="M74" s="119" t="str">
        <f t="shared" ref="M74:M116" si="27">F74</f>
        <v/>
      </c>
      <c r="N74" s="167" t="str">
        <f t="shared" si="22"/>
        <v/>
      </c>
      <c r="O74" s="119" t="str">
        <f t="shared" ref="O74:O116" si="28">IF(C74&gt;0,N74+L74*3,"")</f>
        <v/>
      </c>
      <c r="P74" s="119" t="str">
        <f t="shared" ref="P74:P116" si="29">IF(Q74&lt;0,0,Q74)</f>
        <v/>
      </c>
      <c r="Q74" s="113" t="str">
        <f t="shared" ref="Q74:Q116" si="30">IF(C74&gt;0,N74-L74*3,"")</f>
        <v/>
      </c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  <c r="AN74" s="84"/>
      <c r="AO74" s="84"/>
      <c r="AP74" s="84"/>
      <c r="AQ74" s="84"/>
      <c r="AR74" s="84"/>
      <c r="AS74" s="84"/>
      <c r="AT74" s="84"/>
      <c r="AU74" s="84"/>
      <c r="AV74" s="84"/>
      <c r="AW74" s="84"/>
      <c r="AX74" s="84"/>
      <c r="AY74" s="84"/>
      <c r="AZ74" s="84"/>
      <c r="BA74" s="84"/>
      <c r="BB74" s="84"/>
      <c r="BC74" s="84"/>
      <c r="BD74" s="84"/>
      <c r="BE74" s="84"/>
      <c r="BF74" s="84"/>
      <c r="BG74" s="84"/>
      <c r="BH74" s="84"/>
      <c r="BI74" s="84"/>
      <c r="BJ74" s="84"/>
      <c r="BK74" s="84"/>
      <c r="BL74" s="84"/>
      <c r="BM74" s="84"/>
      <c r="BN74" s="84"/>
      <c r="BO74" s="84"/>
      <c r="BP74" s="84"/>
    </row>
    <row r="75" spans="1:68" ht="15.75" thickBot="1">
      <c r="A75" s="2"/>
      <c r="B75" s="23"/>
      <c r="C75" s="23"/>
      <c r="D75" s="72" t="str">
        <f t="shared" si="23"/>
        <v/>
      </c>
      <c r="E75" s="171" t="str">
        <f t="shared" si="18"/>
        <v/>
      </c>
      <c r="F75" s="109" t="str">
        <f t="shared" si="24"/>
        <v/>
      </c>
      <c r="G75" s="161" t="str">
        <f t="shared" si="25"/>
        <v/>
      </c>
      <c r="H75" s="166" t="str">
        <f t="shared" si="19"/>
        <v/>
      </c>
      <c r="I75" s="166" t="str">
        <f t="shared" si="26"/>
        <v/>
      </c>
      <c r="J75" s="34" t="str">
        <f t="shared" si="20"/>
        <v/>
      </c>
      <c r="K75" s="84"/>
      <c r="L75" s="120" t="str">
        <f t="shared" si="21"/>
        <v/>
      </c>
      <c r="M75" s="119" t="str">
        <f t="shared" si="27"/>
        <v/>
      </c>
      <c r="N75" s="167" t="str">
        <f t="shared" si="22"/>
        <v/>
      </c>
      <c r="O75" s="119" t="str">
        <f t="shared" si="28"/>
        <v/>
      </c>
      <c r="P75" s="119" t="str">
        <f t="shared" si="29"/>
        <v/>
      </c>
      <c r="Q75" s="113" t="str">
        <f t="shared" si="30"/>
        <v/>
      </c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  <c r="AL75" s="84"/>
      <c r="AM75" s="84"/>
      <c r="AN75" s="84"/>
      <c r="AO75" s="84"/>
      <c r="AP75" s="84"/>
      <c r="AQ75" s="84"/>
      <c r="AR75" s="84"/>
      <c r="AS75" s="84"/>
      <c r="AT75" s="84"/>
      <c r="AU75" s="84"/>
      <c r="AV75" s="84"/>
      <c r="AW75" s="84"/>
      <c r="AX75" s="84"/>
      <c r="AY75" s="84"/>
      <c r="AZ75" s="84"/>
      <c r="BA75" s="84"/>
      <c r="BB75" s="84"/>
      <c r="BC75" s="84"/>
      <c r="BD75" s="84"/>
      <c r="BE75" s="84"/>
      <c r="BF75" s="84"/>
      <c r="BG75" s="84"/>
      <c r="BH75" s="84"/>
      <c r="BI75" s="84"/>
      <c r="BJ75" s="84"/>
      <c r="BK75" s="84"/>
      <c r="BL75" s="84"/>
      <c r="BM75" s="84"/>
      <c r="BN75" s="84"/>
      <c r="BO75" s="84"/>
      <c r="BP75" s="84"/>
    </row>
    <row r="76" spans="1:68" ht="15.75" thickBot="1">
      <c r="A76" s="2"/>
      <c r="B76" s="23"/>
      <c r="C76" s="23"/>
      <c r="D76" s="72" t="str">
        <f t="shared" si="23"/>
        <v/>
      </c>
      <c r="E76" s="171" t="str">
        <f t="shared" si="18"/>
        <v/>
      </c>
      <c r="F76" s="109" t="str">
        <f t="shared" si="24"/>
        <v/>
      </c>
      <c r="G76" s="161" t="str">
        <f t="shared" si="25"/>
        <v/>
      </c>
      <c r="H76" s="166" t="str">
        <f t="shared" si="19"/>
        <v/>
      </c>
      <c r="I76" s="166" t="str">
        <f t="shared" si="26"/>
        <v/>
      </c>
      <c r="J76" s="34" t="str">
        <f t="shared" si="20"/>
        <v/>
      </c>
      <c r="K76" s="84"/>
      <c r="L76" s="120" t="str">
        <f t="shared" si="21"/>
        <v/>
      </c>
      <c r="M76" s="119" t="str">
        <f t="shared" si="27"/>
        <v/>
      </c>
      <c r="N76" s="167" t="str">
        <f t="shared" si="22"/>
        <v/>
      </c>
      <c r="O76" s="119" t="str">
        <f t="shared" si="28"/>
        <v/>
      </c>
      <c r="P76" s="119" t="str">
        <f t="shared" si="29"/>
        <v/>
      </c>
      <c r="Q76" s="113" t="str">
        <f t="shared" si="30"/>
        <v/>
      </c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  <c r="AN76" s="84"/>
      <c r="AO76" s="84"/>
      <c r="AP76" s="84"/>
      <c r="AQ76" s="84"/>
      <c r="AR76" s="84"/>
      <c r="AS76" s="84"/>
      <c r="AT76" s="84"/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BJ76" s="84"/>
      <c r="BK76" s="84"/>
      <c r="BL76" s="84"/>
      <c r="BM76" s="84"/>
      <c r="BN76" s="84"/>
      <c r="BO76" s="84"/>
      <c r="BP76" s="84"/>
    </row>
    <row r="77" spans="1:68" ht="15.75" thickBot="1">
      <c r="A77" s="2"/>
      <c r="B77" s="23"/>
      <c r="C77" s="23"/>
      <c r="D77" s="72" t="str">
        <f t="shared" si="23"/>
        <v/>
      </c>
      <c r="E77" s="171" t="str">
        <f t="shared" si="18"/>
        <v/>
      </c>
      <c r="F77" s="109" t="str">
        <f t="shared" si="24"/>
        <v/>
      </c>
      <c r="G77" s="161" t="str">
        <f t="shared" si="25"/>
        <v/>
      </c>
      <c r="H77" s="166" t="str">
        <f t="shared" si="19"/>
        <v/>
      </c>
      <c r="I77" s="166" t="str">
        <f t="shared" si="26"/>
        <v/>
      </c>
      <c r="J77" s="34" t="str">
        <f t="shared" si="20"/>
        <v/>
      </c>
      <c r="K77" s="84"/>
      <c r="L77" s="120" t="str">
        <f t="shared" si="21"/>
        <v/>
      </c>
      <c r="M77" s="119" t="str">
        <f t="shared" si="27"/>
        <v/>
      </c>
      <c r="N77" s="167" t="str">
        <f t="shared" si="22"/>
        <v/>
      </c>
      <c r="O77" s="119" t="str">
        <f t="shared" si="28"/>
        <v/>
      </c>
      <c r="P77" s="119" t="str">
        <f t="shared" si="29"/>
        <v/>
      </c>
      <c r="Q77" s="113" t="str">
        <f t="shared" si="30"/>
        <v/>
      </c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/>
      <c r="AP77" s="84"/>
      <c r="AQ77" s="84"/>
      <c r="AR77" s="84"/>
      <c r="AS77" s="84"/>
      <c r="AT77" s="84"/>
      <c r="AU77" s="84"/>
      <c r="AV77" s="84"/>
      <c r="AW77" s="84"/>
      <c r="AX77" s="84"/>
      <c r="AY77" s="84"/>
      <c r="AZ77" s="84"/>
      <c r="BA77" s="84"/>
      <c r="BB77" s="84"/>
      <c r="BC77" s="84"/>
      <c r="BD77" s="84"/>
      <c r="BE77" s="84"/>
      <c r="BF77" s="84"/>
      <c r="BG77" s="84"/>
      <c r="BH77" s="84"/>
      <c r="BI77" s="84"/>
      <c r="BJ77" s="84"/>
      <c r="BK77" s="84"/>
      <c r="BL77" s="84"/>
      <c r="BM77" s="84"/>
      <c r="BN77" s="84"/>
      <c r="BO77" s="84"/>
      <c r="BP77" s="84"/>
    </row>
    <row r="78" spans="1:68" ht="15.75" thickBot="1">
      <c r="A78" s="2"/>
      <c r="B78" s="23"/>
      <c r="C78" s="23"/>
      <c r="D78" s="72" t="str">
        <f t="shared" si="23"/>
        <v/>
      </c>
      <c r="E78" s="171" t="str">
        <f t="shared" si="18"/>
        <v/>
      </c>
      <c r="F78" s="109" t="str">
        <f t="shared" si="24"/>
        <v/>
      </c>
      <c r="G78" s="161" t="str">
        <f t="shared" si="25"/>
        <v/>
      </c>
      <c r="H78" s="166" t="str">
        <f t="shared" si="19"/>
        <v/>
      </c>
      <c r="I78" s="166" t="str">
        <f t="shared" si="26"/>
        <v/>
      </c>
      <c r="J78" s="34" t="str">
        <f t="shared" si="20"/>
        <v/>
      </c>
      <c r="K78" s="84"/>
      <c r="L78" s="120" t="str">
        <f t="shared" si="21"/>
        <v/>
      </c>
      <c r="M78" s="119" t="str">
        <f t="shared" si="27"/>
        <v/>
      </c>
      <c r="N78" s="167" t="str">
        <f t="shared" si="22"/>
        <v/>
      </c>
      <c r="O78" s="119" t="str">
        <f t="shared" si="28"/>
        <v/>
      </c>
      <c r="P78" s="119" t="str">
        <f t="shared" si="29"/>
        <v/>
      </c>
      <c r="Q78" s="113" t="str">
        <f t="shared" si="30"/>
        <v/>
      </c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4"/>
      <c r="AL78" s="84"/>
      <c r="AM78" s="84"/>
      <c r="AN78" s="84"/>
      <c r="AO78" s="84"/>
      <c r="AP78" s="84"/>
      <c r="AQ78" s="84"/>
      <c r="AR78" s="84"/>
      <c r="AS78" s="84"/>
      <c r="AT78" s="84"/>
      <c r="AU78" s="84"/>
      <c r="AV78" s="84"/>
      <c r="AW78" s="84"/>
      <c r="AX78" s="84"/>
      <c r="AY78" s="84"/>
      <c r="AZ78" s="84"/>
      <c r="BA78" s="84"/>
      <c r="BB78" s="84"/>
      <c r="BC78" s="84"/>
      <c r="BD78" s="84"/>
      <c r="BE78" s="84"/>
      <c r="BF78" s="84"/>
      <c r="BG78" s="84"/>
      <c r="BH78" s="84"/>
      <c r="BI78" s="84"/>
      <c r="BJ78" s="84"/>
      <c r="BK78" s="84"/>
      <c r="BL78" s="84"/>
      <c r="BM78" s="84"/>
      <c r="BN78" s="84"/>
      <c r="BO78" s="84"/>
      <c r="BP78" s="84"/>
    </row>
    <row r="79" spans="1:68" ht="15.75" thickBot="1">
      <c r="A79" s="2"/>
      <c r="B79" s="23"/>
      <c r="C79" s="23"/>
      <c r="D79" s="72" t="str">
        <f t="shared" si="23"/>
        <v/>
      </c>
      <c r="E79" s="171" t="str">
        <f t="shared" si="18"/>
        <v/>
      </c>
      <c r="F79" s="109" t="str">
        <f t="shared" si="24"/>
        <v/>
      </c>
      <c r="G79" s="161" t="str">
        <f t="shared" si="25"/>
        <v/>
      </c>
      <c r="H79" s="166" t="str">
        <f t="shared" si="19"/>
        <v/>
      </c>
      <c r="I79" s="166" t="str">
        <f t="shared" si="26"/>
        <v/>
      </c>
      <c r="J79" s="34" t="str">
        <f t="shared" si="20"/>
        <v/>
      </c>
      <c r="K79" s="84"/>
      <c r="L79" s="120" t="str">
        <f t="shared" si="21"/>
        <v/>
      </c>
      <c r="M79" s="119" t="str">
        <f t="shared" si="27"/>
        <v/>
      </c>
      <c r="N79" s="167" t="str">
        <f t="shared" si="22"/>
        <v/>
      </c>
      <c r="O79" s="119" t="str">
        <f t="shared" si="28"/>
        <v/>
      </c>
      <c r="P79" s="119" t="str">
        <f t="shared" si="29"/>
        <v/>
      </c>
      <c r="Q79" s="113" t="str">
        <f t="shared" si="30"/>
        <v/>
      </c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  <c r="AO79" s="84"/>
      <c r="AP79" s="84"/>
      <c r="AQ79" s="84"/>
      <c r="AR79" s="84"/>
      <c r="AS79" s="84"/>
      <c r="AT79" s="84"/>
      <c r="AU79" s="84"/>
      <c r="AV79" s="84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  <c r="BH79" s="84"/>
      <c r="BI79" s="84"/>
      <c r="BJ79" s="84"/>
      <c r="BK79" s="84"/>
      <c r="BL79" s="84"/>
      <c r="BM79" s="84"/>
      <c r="BN79" s="84"/>
      <c r="BO79" s="84"/>
      <c r="BP79" s="84"/>
    </row>
    <row r="80" spans="1:68" ht="15.75" thickBot="1">
      <c r="A80" s="2"/>
      <c r="B80" s="23"/>
      <c r="C80" s="23"/>
      <c r="D80" s="72" t="str">
        <f t="shared" si="23"/>
        <v/>
      </c>
      <c r="E80" s="171" t="str">
        <f t="shared" si="18"/>
        <v/>
      </c>
      <c r="F80" s="109" t="str">
        <f t="shared" si="24"/>
        <v/>
      </c>
      <c r="G80" s="161" t="str">
        <f t="shared" si="25"/>
        <v/>
      </c>
      <c r="H80" s="166" t="str">
        <f t="shared" si="19"/>
        <v/>
      </c>
      <c r="I80" s="166" t="str">
        <f t="shared" si="26"/>
        <v/>
      </c>
      <c r="J80" s="34" t="str">
        <f t="shared" si="20"/>
        <v/>
      </c>
      <c r="K80" s="84"/>
      <c r="L80" s="120" t="str">
        <f t="shared" si="21"/>
        <v/>
      </c>
      <c r="M80" s="119" t="str">
        <f t="shared" si="27"/>
        <v/>
      </c>
      <c r="N80" s="167" t="str">
        <f t="shared" si="22"/>
        <v/>
      </c>
      <c r="O80" s="119" t="str">
        <f t="shared" si="28"/>
        <v/>
      </c>
      <c r="P80" s="119" t="str">
        <f t="shared" si="29"/>
        <v/>
      </c>
      <c r="Q80" s="113" t="str">
        <f t="shared" si="30"/>
        <v/>
      </c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  <c r="AN80" s="84"/>
      <c r="AO80" s="84"/>
      <c r="AP80" s="84"/>
      <c r="AQ80" s="84"/>
      <c r="AR80" s="84"/>
      <c r="AS80" s="84"/>
      <c r="AT80" s="84"/>
      <c r="AU80" s="84"/>
      <c r="AV80" s="84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  <c r="BH80" s="84"/>
      <c r="BI80" s="84"/>
      <c r="BJ80" s="84"/>
      <c r="BK80" s="84"/>
      <c r="BL80" s="84"/>
      <c r="BM80" s="84"/>
      <c r="BN80" s="84"/>
      <c r="BO80" s="84"/>
      <c r="BP80" s="84"/>
    </row>
    <row r="81" spans="1:68" ht="15.75" thickBot="1">
      <c r="A81" s="2"/>
      <c r="B81" s="23"/>
      <c r="C81" s="23"/>
      <c r="D81" s="72" t="str">
        <f t="shared" si="23"/>
        <v/>
      </c>
      <c r="E81" s="171" t="str">
        <f t="shared" si="18"/>
        <v/>
      </c>
      <c r="F81" s="109" t="str">
        <f t="shared" si="24"/>
        <v/>
      </c>
      <c r="G81" s="161" t="str">
        <f t="shared" si="25"/>
        <v/>
      </c>
      <c r="H81" s="166" t="str">
        <f t="shared" si="19"/>
        <v/>
      </c>
      <c r="I81" s="166" t="str">
        <f t="shared" si="26"/>
        <v/>
      </c>
      <c r="J81" s="34" t="str">
        <f t="shared" si="20"/>
        <v/>
      </c>
      <c r="K81" s="84"/>
      <c r="L81" s="120" t="str">
        <f t="shared" si="21"/>
        <v/>
      </c>
      <c r="M81" s="119" t="str">
        <f t="shared" si="27"/>
        <v/>
      </c>
      <c r="N81" s="167" t="str">
        <f t="shared" si="22"/>
        <v/>
      </c>
      <c r="O81" s="119" t="str">
        <f t="shared" si="28"/>
        <v/>
      </c>
      <c r="P81" s="119" t="str">
        <f t="shared" si="29"/>
        <v/>
      </c>
      <c r="Q81" s="113" t="str">
        <f t="shared" si="30"/>
        <v/>
      </c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  <c r="AO81" s="84"/>
      <c r="AP81" s="84"/>
      <c r="AQ81" s="84"/>
      <c r="AR81" s="84"/>
      <c r="AS81" s="84"/>
      <c r="AT81" s="84"/>
      <c r="AU81" s="84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  <c r="BN81" s="84"/>
      <c r="BO81" s="84"/>
      <c r="BP81" s="84"/>
    </row>
    <row r="82" spans="1:68" ht="15.75" thickBot="1">
      <c r="A82" s="2"/>
      <c r="B82" s="23"/>
      <c r="C82" s="23"/>
      <c r="D82" s="72" t="str">
        <f t="shared" si="23"/>
        <v/>
      </c>
      <c r="E82" s="171" t="str">
        <f t="shared" si="18"/>
        <v/>
      </c>
      <c r="F82" s="109" t="str">
        <f t="shared" si="24"/>
        <v/>
      </c>
      <c r="G82" s="161" t="str">
        <f t="shared" si="25"/>
        <v/>
      </c>
      <c r="H82" s="166" t="str">
        <f t="shared" si="19"/>
        <v/>
      </c>
      <c r="I82" s="166" t="str">
        <f t="shared" si="26"/>
        <v/>
      </c>
      <c r="J82" s="34" t="str">
        <f t="shared" si="20"/>
        <v/>
      </c>
      <c r="K82" s="84"/>
      <c r="L82" s="120" t="str">
        <f t="shared" si="21"/>
        <v/>
      </c>
      <c r="M82" s="119" t="str">
        <f t="shared" si="27"/>
        <v/>
      </c>
      <c r="N82" s="167" t="str">
        <f t="shared" si="22"/>
        <v/>
      </c>
      <c r="O82" s="119" t="str">
        <f t="shared" si="28"/>
        <v/>
      </c>
      <c r="P82" s="119" t="str">
        <f t="shared" si="29"/>
        <v/>
      </c>
      <c r="Q82" s="113" t="str">
        <f t="shared" si="30"/>
        <v/>
      </c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  <c r="AO82" s="84"/>
      <c r="AP82" s="84"/>
      <c r="AQ82" s="84"/>
      <c r="AR82" s="84"/>
      <c r="AS82" s="84"/>
      <c r="AT82" s="84"/>
      <c r="AU82" s="84"/>
      <c r="AV82" s="84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  <c r="BN82" s="84"/>
      <c r="BO82" s="84"/>
      <c r="BP82" s="84"/>
    </row>
    <row r="83" spans="1:68" ht="15.75" thickBot="1">
      <c r="A83" s="2"/>
      <c r="B83" s="23"/>
      <c r="C83" s="23"/>
      <c r="D83" s="72" t="str">
        <f t="shared" si="23"/>
        <v/>
      </c>
      <c r="E83" s="171" t="str">
        <f t="shared" si="18"/>
        <v/>
      </c>
      <c r="F83" s="109" t="str">
        <f t="shared" si="24"/>
        <v/>
      </c>
      <c r="G83" s="161" t="str">
        <f t="shared" si="25"/>
        <v/>
      </c>
      <c r="H83" s="166" t="str">
        <f t="shared" si="19"/>
        <v/>
      </c>
      <c r="I83" s="166" t="str">
        <f t="shared" si="26"/>
        <v/>
      </c>
      <c r="J83" s="34" t="str">
        <f t="shared" si="20"/>
        <v/>
      </c>
      <c r="K83" s="84"/>
      <c r="L83" s="120" t="str">
        <f t="shared" si="21"/>
        <v/>
      </c>
      <c r="M83" s="119" t="str">
        <f t="shared" si="27"/>
        <v/>
      </c>
      <c r="N83" s="167" t="str">
        <f t="shared" si="22"/>
        <v/>
      </c>
      <c r="O83" s="119" t="str">
        <f t="shared" si="28"/>
        <v/>
      </c>
      <c r="P83" s="119" t="str">
        <f t="shared" si="29"/>
        <v/>
      </c>
      <c r="Q83" s="113" t="str">
        <f t="shared" si="30"/>
        <v/>
      </c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  <c r="AC83" s="84"/>
      <c r="AD83" s="84"/>
      <c r="AE83" s="84"/>
      <c r="AF83" s="84"/>
      <c r="AG83" s="84"/>
      <c r="AH83" s="84"/>
      <c r="AI83" s="84"/>
      <c r="AJ83" s="84"/>
      <c r="AK83" s="84"/>
      <c r="AL83" s="84"/>
      <c r="AM83" s="84"/>
      <c r="AN83" s="84"/>
      <c r="AO83" s="84"/>
      <c r="AP83" s="84"/>
      <c r="AQ83" s="84"/>
      <c r="AR83" s="84"/>
      <c r="AS83" s="84"/>
      <c r="AT83" s="84"/>
      <c r="AU83" s="84"/>
      <c r="AV83" s="84"/>
      <c r="AW83" s="84"/>
      <c r="AX83" s="84"/>
      <c r="AY83" s="84"/>
      <c r="AZ83" s="84"/>
      <c r="BA83" s="84"/>
      <c r="BB83" s="84"/>
      <c r="BC83" s="84"/>
      <c r="BD83" s="84"/>
      <c r="BE83" s="84"/>
      <c r="BF83" s="84"/>
      <c r="BG83" s="84"/>
      <c r="BH83" s="84"/>
      <c r="BI83" s="84"/>
      <c r="BJ83" s="84"/>
      <c r="BK83" s="84"/>
      <c r="BL83" s="84"/>
      <c r="BM83" s="84"/>
      <c r="BN83" s="84"/>
      <c r="BO83" s="84"/>
      <c r="BP83" s="84"/>
    </row>
    <row r="84" spans="1:68" ht="15.75" thickBot="1">
      <c r="A84" s="2"/>
      <c r="B84" s="23"/>
      <c r="C84" s="23"/>
      <c r="D84" s="72" t="str">
        <f t="shared" si="23"/>
        <v/>
      </c>
      <c r="E84" s="171" t="str">
        <f t="shared" si="18"/>
        <v/>
      </c>
      <c r="F84" s="109" t="str">
        <f t="shared" si="24"/>
        <v/>
      </c>
      <c r="G84" s="161" t="str">
        <f t="shared" si="25"/>
        <v/>
      </c>
      <c r="H84" s="166" t="str">
        <f t="shared" si="19"/>
        <v/>
      </c>
      <c r="I84" s="166" t="str">
        <f t="shared" si="26"/>
        <v/>
      </c>
      <c r="J84" s="34" t="str">
        <f t="shared" si="20"/>
        <v/>
      </c>
      <c r="K84" s="84"/>
      <c r="L84" s="120" t="str">
        <f t="shared" si="21"/>
        <v/>
      </c>
      <c r="M84" s="119" t="str">
        <f t="shared" si="27"/>
        <v/>
      </c>
      <c r="N84" s="167" t="str">
        <f t="shared" si="22"/>
        <v/>
      </c>
      <c r="O84" s="119" t="str">
        <f t="shared" si="28"/>
        <v/>
      </c>
      <c r="P84" s="119" t="str">
        <f t="shared" si="29"/>
        <v/>
      </c>
      <c r="Q84" s="113" t="str">
        <f t="shared" si="30"/>
        <v/>
      </c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  <c r="AO84" s="84"/>
      <c r="AP84" s="84"/>
      <c r="AQ84" s="84"/>
      <c r="AR84" s="84"/>
      <c r="AS84" s="84"/>
      <c r="AT84" s="84"/>
      <c r="AU84" s="84"/>
      <c r="AV84" s="84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  <c r="BH84" s="84"/>
      <c r="BI84" s="84"/>
      <c r="BJ84" s="84"/>
      <c r="BK84" s="84"/>
      <c r="BL84" s="84"/>
      <c r="BM84" s="84"/>
      <c r="BN84" s="84"/>
      <c r="BO84" s="84"/>
      <c r="BP84" s="84"/>
    </row>
    <row r="85" spans="1:68" ht="15.75" thickBot="1">
      <c r="A85" s="2"/>
      <c r="B85" s="23"/>
      <c r="C85" s="23"/>
      <c r="D85" s="72" t="str">
        <f t="shared" si="23"/>
        <v/>
      </c>
      <c r="E85" s="171" t="str">
        <f t="shared" si="18"/>
        <v/>
      </c>
      <c r="F85" s="109" t="str">
        <f t="shared" si="24"/>
        <v/>
      </c>
      <c r="G85" s="161" t="str">
        <f t="shared" si="25"/>
        <v/>
      </c>
      <c r="H85" s="166" t="str">
        <f t="shared" si="19"/>
        <v/>
      </c>
      <c r="I85" s="166" t="str">
        <f t="shared" si="26"/>
        <v/>
      </c>
      <c r="J85" s="34" t="str">
        <f t="shared" si="20"/>
        <v/>
      </c>
      <c r="K85" s="84"/>
      <c r="L85" s="120" t="str">
        <f t="shared" si="21"/>
        <v/>
      </c>
      <c r="M85" s="119" t="str">
        <f t="shared" si="27"/>
        <v/>
      </c>
      <c r="N85" s="167" t="str">
        <f t="shared" si="22"/>
        <v/>
      </c>
      <c r="O85" s="119" t="str">
        <f t="shared" si="28"/>
        <v/>
      </c>
      <c r="P85" s="119" t="str">
        <f t="shared" si="29"/>
        <v/>
      </c>
      <c r="Q85" s="113" t="str">
        <f t="shared" si="30"/>
        <v/>
      </c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  <c r="AO85" s="84"/>
      <c r="AP85" s="84"/>
      <c r="AQ85" s="84"/>
      <c r="AR85" s="84"/>
      <c r="AS85" s="84"/>
      <c r="AT85" s="84"/>
      <c r="AU85" s="84"/>
      <c r="AV85" s="84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  <c r="BH85" s="84"/>
      <c r="BI85" s="84"/>
      <c r="BJ85" s="84"/>
      <c r="BK85" s="84"/>
      <c r="BL85" s="84"/>
      <c r="BM85" s="84"/>
      <c r="BN85" s="84"/>
      <c r="BO85" s="84"/>
      <c r="BP85" s="84"/>
    </row>
    <row r="86" spans="1:68" ht="15.75" thickBot="1">
      <c r="A86" s="2"/>
      <c r="B86" s="23"/>
      <c r="C86" s="23"/>
      <c r="D86" s="72" t="str">
        <f t="shared" si="23"/>
        <v/>
      </c>
      <c r="E86" s="171" t="str">
        <f t="shared" si="18"/>
        <v/>
      </c>
      <c r="F86" s="109" t="str">
        <f t="shared" si="24"/>
        <v/>
      </c>
      <c r="G86" s="161" t="str">
        <f t="shared" si="25"/>
        <v/>
      </c>
      <c r="H86" s="166" t="str">
        <f t="shared" si="19"/>
        <v/>
      </c>
      <c r="I86" s="166" t="str">
        <f t="shared" si="26"/>
        <v/>
      </c>
      <c r="J86" s="34" t="str">
        <f t="shared" si="20"/>
        <v/>
      </c>
      <c r="K86" s="84"/>
      <c r="L86" s="120" t="str">
        <f t="shared" si="21"/>
        <v/>
      </c>
      <c r="M86" s="119" t="str">
        <f t="shared" si="27"/>
        <v/>
      </c>
      <c r="N86" s="167" t="str">
        <f t="shared" si="22"/>
        <v/>
      </c>
      <c r="O86" s="119" t="str">
        <f t="shared" si="28"/>
        <v/>
      </c>
      <c r="P86" s="119" t="str">
        <f t="shared" si="29"/>
        <v/>
      </c>
      <c r="Q86" s="113" t="str">
        <f t="shared" si="30"/>
        <v/>
      </c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  <c r="AO86" s="84"/>
      <c r="AP86" s="84"/>
      <c r="AQ86" s="84"/>
      <c r="AR86" s="84"/>
      <c r="AS86" s="84"/>
      <c r="AT86" s="84"/>
      <c r="AU86" s="84"/>
      <c r="AV86" s="84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  <c r="BH86" s="84"/>
      <c r="BI86" s="84"/>
      <c r="BJ86" s="84"/>
      <c r="BK86" s="84"/>
      <c r="BL86" s="84"/>
      <c r="BM86" s="84"/>
      <c r="BN86" s="84"/>
      <c r="BO86" s="84"/>
      <c r="BP86" s="84"/>
    </row>
    <row r="87" spans="1:68" ht="15.75" thickBot="1">
      <c r="A87" s="2"/>
      <c r="B87" s="23"/>
      <c r="C87" s="23"/>
      <c r="D87" s="72" t="str">
        <f t="shared" si="23"/>
        <v/>
      </c>
      <c r="E87" s="171" t="str">
        <f t="shared" si="18"/>
        <v/>
      </c>
      <c r="F87" s="109" t="str">
        <f t="shared" si="24"/>
        <v/>
      </c>
      <c r="G87" s="161" t="str">
        <f t="shared" si="25"/>
        <v/>
      </c>
      <c r="H87" s="166" t="str">
        <f t="shared" si="19"/>
        <v/>
      </c>
      <c r="I87" s="166" t="str">
        <f t="shared" si="26"/>
        <v/>
      </c>
      <c r="J87" s="34" t="str">
        <f t="shared" si="20"/>
        <v/>
      </c>
      <c r="K87" s="84"/>
      <c r="L87" s="120" t="str">
        <f t="shared" si="21"/>
        <v/>
      </c>
      <c r="M87" s="119" t="str">
        <f t="shared" si="27"/>
        <v/>
      </c>
      <c r="N87" s="167" t="str">
        <f t="shared" si="22"/>
        <v/>
      </c>
      <c r="O87" s="119" t="str">
        <f t="shared" si="28"/>
        <v/>
      </c>
      <c r="P87" s="119" t="str">
        <f t="shared" si="29"/>
        <v/>
      </c>
      <c r="Q87" s="113" t="str">
        <f t="shared" si="30"/>
        <v/>
      </c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  <c r="AO87" s="84"/>
      <c r="AP87" s="84"/>
      <c r="AQ87" s="84"/>
      <c r="AR87" s="84"/>
      <c r="AS87" s="84"/>
      <c r="AT87" s="84"/>
      <c r="AU87" s="84"/>
      <c r="AV87" s="84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  <c r="BH87" s="84"/>
      <c r="BI87" s="84"/>
      <c r="BJ87" s="84"/>
      <c r="BK87" s="84"/>
      <c r="BL87" s="84"/>
      <c r="BM87" s="84"/>
      <c r="BN87" s="84"/>
      <c r="BO87" s="84"/>
      <c r="BP87" s="84"/>
    </row>
    <row r="88" spans="1:68" ht="15.75" thickBot="1">
      <c r="A88" s="2"/>
      <c r="B88" s="23"/>
      <c r="C88" s="23"/>
      <c r="D88" s="72" t="str">
        <f t="shared" si="23"/>
        <v/>
      </c>
      <c r="E88" s="171" t="str">
        <f t="shared" si="18"/>
        <v/>
      </c>
      <c r="F88" s="109" t="str">
        <f t="shared" si="24"/>
        <v/>
      </c>
      <c r="G88" s="161" t="str">
        <f t="shared" si="25"/>
        <v/>
      </c>
      <c r="H88" s="166" t="str">
        <f t="shared" si="19"/>
        <v/>
      </c>
      <c r="I88" s="166" t="str">
        <f t="shared" si="26"/>
        <v/>
      </c>
      <c r="J88" s="34" t="str">
        <f t="shared" si="20"/>
        <v/>
      </c>
      <c r="K88" s="84"/>
      <c r="L88" s="120" t="str">
        <f t="shared" si="21"/>
        <v/>
      </c>
      <c r="M88" s="119" t="str">
        <f t="shared" si="27"/>
        <v/>
      </c>
      <c r="N88" s="167" t="str">
        <f t="shared" si="22"/>
        <v/>
      </c>
      <c r="O88" s="119" t="str">
        <f t="shared" si="28"/>
        <v/>
      </c>
      <c r="P88" s="119" t="str">
        <f t="shared" si="29"/>
        <v/>
      </c>
      <c r="Q88" s="113" t="str">
        <f t="shared" si="30"/>
        <v/>
      </c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  <c r="AC88" s="84"/>
      <c r="AD88" s="84"/>
      <c r="AE88" s="84"/>
      <c r="AF88" s="84"/>
      <c r="AG88" s="84"/>
      <c r="AH88" s="84"/>
      <c r="AI88" s="84"/>
      <c r="AJ88" s="84"/>
      <c r="AK88" s="84"/>
      <c r="AL88" s="84"/>
      <c r="AM88" s="84"/>
      <c r="AN88" s="84"/>
      <c r="AO88" s="84"/>
      <c r="AP88" s="84"/>
      <c r="AQ88" s="84"/>
      <c r="AR88" s="84"/>
      <c r="AS88" s="84"/>
      <c r="AT88" s="84"/>
      <c r="AU88" s="84"/>
      <c r="AV88" s="84"/>
      <c r="AW88" s="84"/>
      <c r="AX88" s="84"/>
      <c r="AY88" s="84"/>
      <c r="AZ88" s="84"/>
      <c r="BA88" s="84"/>
      <c r="BB88" s="84"/>
      <c r="BC88" s="84"/>
      <c r="BD88" s="84"/>
      <c r="BE88" s="84"/>
      <c r="BF88" s="84"/>
      <c r="BG88" s="84"/>
      <c r="BH88" s="84"/>
      <c r="BI88" s="84"/>
      <c r="BJ88" s="84"/>
      <c r="BK88" s="84"/>
      <c r="BL88" s="84"/>
      <c r="BM88" s="84"/>
      <c r="BN88" s="84"/>
      <c r="BO88" s="84"/>
      <c r="BP88" s="84"/>
    </row>
    <row r="89" spans="1:68" ht="15.75" thickBot="1">
      <c r="A89" s="2"/>
      <c r="B89" s="23"/>
      <c r="C89" s="23"/>
      <c r="D89" s="72" t="str">
        <f t="shared" si="23"/>
        <v/>
      </c>
      <c r="E89" s="171" t="str">
        <f t="shared" si="18"/>
        <v/>
      </c>
      <c r="F89" s="109" t="str">
        <f t="shared" si="24"/>
        <v/>
      </c>
      <c r="G89" s="161" t="str">
        <f t="shared" si="25"/>
        <v/>
      </c>
      <c r="H89" s="166" t="str">
        <f t="shared" si="19"/>
        <v/>
      </c>
      <c r="I89" s="166" t="str">
        <f t="shared" si="26"/>
        <v/>
      </c>
      <c r="J89" s="34" t="str">
        <f t="shared" si="20"/>
        <v/>
      </c>
      <c r="K89" s="84"/>
      <c r="L89" s="120" t="str">
        <f t="shared" si="21"/>
        <v/>
      </c>
      <c r="M89" s="119" t="str">
        <f t="shared" si="27"/>
        <v/>
      </c>
      <c r="N89" s="167" t="str">
        <f t="shared" si="22"/>
        <v/>
      </c>
      <c r="O89" s="119" t="str">
        <f t="shared" si="28"/>
        <v/>
      </c>
      <c r="P89" s="119" t="str">
        <f t="shared" si="29"/>
        <v/>
      </c>
      <c r="Q89" s="113" t="str">
        <f t="shared" si="30"/>
        <v/>
      </c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  <c r="AO89" s="84"/>
      <c r="AP89" s="84"/>
      <c r="AQ89" s="84"/>
      <c r="AR89" s="84"/>
      <c r="AS89" s="84"/>
      <c r="AT89" s="84"/>
      <c r="AU89" s="84"/>
      <c r="AV89" s="84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  <c r="BH89" s="84"/>
      <c r="BI89" s="84"/>
      <c r="BJ89" s="84"/>
      <c r="BK89" s="84"/>
      <c r="BL89" s="84"/>
      <c r="BM89" s="84"/>
      <c r="BN89" s="84"/>
      <c r="BO89" s="84"/>
      <c r="BP89" s="84"/>
    </row>
    <row r="90" spans="1:68" ht="15.75" thickBot="1">
      <c r="A90" s="2"/>
      <c r="B90" s="23"/>
      <c r="C90" s="23"/>
      <c r="D90" s="72" t="str">
        <f t="shared" si="23"/>
        <v/>
      </c>
      <c r="E90" s="171" t="str">
        <f t="shared" si="18"/>
        <v/>
      </c>
      <c r="F90" s="109" t="str">
        <f t="shared" si="24"/>
        <v/>
      </c>
      <c r="G90" s="161" t="str">
        <f t="shared" si="25"/>
        <v/>
      </c>
      <c r="H90" s="166" t="str">
        <f t="shared" si="19"/>
        <v/>
      </c>
      <c r="I90" s="166" t="str">
        <f t="shared" si="26"/>
        <v/>
      </c>
      <c r="J90" s="34" t="str">
        <f t="shared" si="20"/>
        <v/>
      </c>
      <c r="K90" s="84"/>
      <c r="L90" s="120" t="str">
        <f t="shared" si="21"/>
        <v/>
      </c>
      <c r="M90" s="119" t="str">
        <f t="shared" si="27"/>
        <v/>
      </c>
      <c r="N90" s="167" t="str">
        <f t="shared" si="22"/>
        <v/>
      </c>
      <c r="O90" s="119" t="str">
        <f t="shared" si="28"/>
        <v/>
      </c>
      <c r="P90" s="119" t="str">
        <f t="shared" si="29"/>
        <v/>
      </c>
      <c r="Q90" s="113" t="str">
        <f t="shared" si="30"/>
        <v/>
      </c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  <c r="AO90" s="84"/>
      <c r="AP90" s="84"/>
      <c r="AQ90" s="84"/>
      <c r="AR90" s="84"/>
      <c r="AS90" s="84"/>
      <c r="AT90" s="84"/>
      <c r="AU90" s="84"/>
      <c r="AV90" s="84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  <c r="BH90" s="84"/>
      <c r="BI90" s="84"/>
      <c r="BJ90" s="84"/>
      <c r="BK90" s="84"/>
      <c r="BL90" s="84"/>
      <c r="BM90" s="84"/>
      <c r="BN90" s="84"/>
      <c r="BO90" s="84"/>
      <c r="BP90" s="84"/>
    </row>
    <row r="91" spans="1:68" ht="15.75" thickBot="1">
      <c r="A91" s="2"/>
      <c r="B91" s="23"/>
      <c r="C91" s="23"/>
      <c r="D91" s="72" t="str">
        <f t="shared" si="23"/>
        <v/>
      </c>
      <c r="E91" s="171" t="str">
        <f t="shared" si="18"/>
        <v/>
      </c>
      <c r="F91" s="109" t="str">
        <f t="shared" si="24"/>
        <v/>
      </c>
      <c r="G91" s="161" t="str">
        <f t="shared" si="25"/>
        <v/>
      </c>
      <c r="H91" s="166" t="str">
        <f t="shared" si="19"/>
        <v/>
      </c>
      <c r="I91" s="166" t="str">
        <f t="shared" si="26"/>
        <v/>
      </c>
      <c r="J91" s="34" t="str">
        <f t="shared" si="20"/>
        <v/>
      </c>
      <c r="K91" s="84"/>
      <c r="L91" s="120" t="str">
        <f t="shared" si="21"/>
        <v/>
      </c>
      <c r="M91" s="119" t="str">
        <f t="shared" si="27"/>
        <v/>
      </c>
      <c r="N91" s="167" t="str">
        <f t="shared" si="22"/>
        <v/>
      </c>
      <c r="O91" s="119" t="str">
        <f t="shared" si="28"/>
        <v/>
      </c>
      <c r="P91" s="119" t="str">
        <f t="shared" si="29"/>
        <v/>
      </c>
      <c r="Q91" s="113" t="str">
        <f t="shared" si="30"/>
        <v/>
      </c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  <c r="AO91" s="84"/>
      <c r="AP91" s="84"/>
      <c r="AQ91" s="84"/>
      <c r="AR91" s="84"/>
      <c r="AS91" s="84"/>
      <c r="AT91" s="84"/>
      <c r="AU91" s="84"/>
      <c r="AV91" s="84"/>
      <c r="AW91" s="84"/>
      <c r="AX91" s="84"/>
      <c r="AY91" s="84"/>
      <c r="AZ91" s="84"/>
      <c r="BA91" s="84"/>
      <c r="BB91" s="84"/>
      <c r="BC91" s="84"/>
      <c r="BD91" s="84"/>
      <c r="BE91" s="84"/>
      <c r="BF91" s="84"/>
      <c r="BG91" s="84"/>
      <c r="BH91" s="84"/>
      <c r="BI91" s="84"/>
      <c r="BJ91" s="84"/>
      <c r="BK91" s="84"/>
      <c r="BL91" s="84"/>
      <c r="BM91" s="84"/>
      <c r="BN91" s="84"/>
      <c r="BO91" s="84"/>
      <c r="BP91" s="84"/>
    </row>
    <row r="92" spans="1:68" ht="15.75" thickBot="1">
      <c r="A92" s="2"/>
      <c r="B92" s="23"/>
      <c r="C92" s="23"/>
      <c r="D92" s="72" t="str">
        <f t="shared" si="23"/>
        <v/>
      </c>
      <c r="E92" s="171" t="str">
        <f t="shared" si="18"/>
        <v/>
      </c>
      <c r="F92" s="109" t="str">
        <f t="shared" si="24"/>
        <v/>
      </c>
      <c r="G92" s="161" t="str">
        <f t="shared" si="25"/>
        <v/>
      </c>
      <c r="H92" s="166" t="str">
        <f t="shared" si="19"/>
        <v/>
      </c>
      <c r="I92" s="166" t="str">
        <f t="shared" si="26"/>
        <v/>
      </c>
      <c r="J92" s="34" t="str">
        <f t="shared" si="20"/>
        <v/>
      </c>
      <c r="K92" s="84"/>
      <c r="L92" s="120" t="str">
        <f t="shared" si="21"/>
        <v/>
      </c>
      <c r="M92" s="119" t="str">
        <f t="shared" si="27"/>
        <v/>
      </c>
      <c r="N92" s="167" t="str">
        <f t="shared" si="22"/>
        <v/>
      </c>
      <c r="O92" s="119" t="str">
        <f t="shared" si="28"/>
        <v/>
      </c>
      <c r="P92" s="119" t="str">
        <f t="shared" si="29"/>
        <v/>
      </c>
      <c r="Q92" s="113" t="str">
        <f t="shared" si="30"/>
        <v/>
      </c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  <c r="AO92" s="84"/>
      <c r="AP92" s="84"/>
      <c r="AQ92" s="84"/>
      <c r="AR92" s="84"/>
      <c r="AS92" s="84"/>
      <c r="AT92" s="84"/>
      <c r="AU92" s="84"/>
      <c r="AV92" s="84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  <c r="BN92" s="84"/>
      <c r="BO92" s="84"/>
      <c r="BP92" s="84"/>
    </row>
    <row r="93" spans="1:68" ht="15.75" thickBot="1">
      <c r="A93" s="2"/>
      <c r="B93" s="23"/>
      <c r="C93" s="23"/>
      <c r="D93" s="72" t="str">
        <f t="shared" si="23"/>
        <v/>
      </c>
      <c r="E93" s="171" t="str">
        <f t="shared" si="18"/>
        <v/>
      </c>
      <c r="F93" s="109" t="str">
        <f t="shared" si="24"/>
        <v/>
      </c>
      <c r="G93" s="161" t="str">
        <f t="shared" si="25"/>
        <v/>
      </c>
      <c r="H93" s="166" t="str">
        <f t="shared" si="19"/>
        <v/>
      </c>
      <c r="I93" s="166" t="str">
        <f t="shared" si="26"/>
        <v/>
      </c>
      <c r="J93" s="34" t="str">
        <f t="shared" si="20"/>
        <v/>
      </c>
      <c r="K93" s="84"/>
      <c r="L93" s="120" t="str">
        <f t="shared" si="21"/>
        <v/>
      </c>
      <c r="M93" s="119" t="str">
        <f t="shared" si="27"/>
        <v/>
      </c>
      <c r="N93" s="167" t="str">
        <f t="shared" si="22"/>
        <v/>
      </c>
      <c r="O93" s="119" t="str">
        <f t="shared" si="28"/>
        <v/>
      </c>
      <c r="P93" s="119" t="str">
        <f t="shared" si="29"/>
        <v/>
      </c>
      <c r="Q93" s="113" t="str">
        <f t="shared" si="30"/>
        <v/>
      </c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  <c r="AN93" s="84"/>
      <c r="AO93" s="84"/>
      <c r="AP93" s="84"/>
      <c r="AQ93" s="84"/>
      <c r="AR93" s="84"/>
      <c r="AS93" s="84"/>
      <c r="AT93" s="84"/>
      <c r="AU93" s="84"/>
      <c r="AV93" s="84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  <c r="BH93" s="84"/>
      <c r="BI93" s="84"/>
      <c r="BJ93" s="84"/>
      <c r="BK93" s="84"/>
      <c r="BL93" s="84"/>
      <c r="BM93" s="84"/>
      <c r="BN93" s="84"/>
      <c r="BO93" s="84"/>
      <c r="BP93" s="84"/>
    </row>
    <row r="94" spans="1:68" ht="15.75" thickBot="1">
      <c r="A94" s="2"/>
      <c r="B94" s="23"/>
      <c r="C94" s="23"/>
      <c r="D94" s="72" t="str">
        <f t="shared" si="23"/>
        <v/>
      </c>
      <c r="E94" s="171" t="str">
        <f t="shared" si="18"/>
        <v/>
      </c>
      <c r="F94" s="109" t="str">
        <f t="shared" si="24"/>
        <v/>
      </c>
      <c r="G94" s="161" t="str">
        <f t="shared" si="25"/>
        <v/>
      </c>
      <c r="H94" s="166" t="str">
        <f t="shared" si="19"/>
        <v/>
      </c>
      <c r="I94" s="166" t="str">
        <f t="shared" si="26"/>
        <v/>
      </c>
      <c r="J94" s="34" t="str">
        <f t="shared" si="20"/>
        <v/>
      </c>
      <c r="K94" s="84"/>
      <c r="L94" s="120" t="str">
        <f t="shared" si="21"/>
        <v/>
      </c>
      <c r="M94" s="119" t="str">
        <f t="shared" si="27"/>
        <v/>
      </c>
      <c r="N94" s="167" t="str">
        <f t="shared" si="22"/>
        <v/>
      </c>
      <c r="O94" s="119" t="str">
        <f t="shared" si="28"/>
        <v/>
      </c>
      <c r="P94" s="119" t="str">
        <f t="shared" si="29"/>
        <v/>
      </c>
      <c r="Q94" s="113" t="str">
        <f t="shared" si="30"/>
        <v/>
      </c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4"/>
      <c r="AJ94" s="84"/>
      <c r="AK94" s="84"/>
      <c r="AL94" s="84"/>
      <c r="AM94" s="84"/>
      <c r="AN94" s="84"/>
      <c r="AO94" s="84"/>
      <c r="AP94" s="84"/>
      <c r="AQ94" s="84"/>
      <c r="AR94" s="84"/>
      <c r="AS94" s="84"/>
      <c r="AT94" s="84"/>
      <c r="AU94" s="84"/>
      <c r="AV94" s="84"/>
      <c r="AW94" s="84"/>
      <c r="AX94" s="84"/>
      <c r="AY94" s="84"/>
      <c r="AZ94" s="84"/>
      <c r="BA94" s="84"/>
      <c r="BB94" s="84"/>
      <c r="BC94" s="84"/>
      <c r="BD94" s="84"/>
      <c r="BE94" s="84"/>
      <c r="BF94" s="84"/>
      <c r="BG94" s="84"/>
      <c r="BH94" s="84"/>
      <c r="BI94" s="84"/>
      <c r="BJ94" s="84"/>
      <c r="BK94" s="84"/>
      <c r="BL94" s="84"/>
      <c r="BM94" s="84"/>
      <c r="BN94" s="84"/>
      <c r="BO94" s="84"/>
      <c r="BP94" s="84"/>
    </row>
    <row r="95" spans="1:68" ht="15.75" thickBot="1">
      <c r="A95" s="2"/>
      <c r="B95" s="23"/>
      <c r="C95" s="23"/>
      <c r="D95" s="72" t="str">
        <f t="shared" si="23"/>
        <v/>
      </c>
      <c r="E95" s="171" t="str">
        <f t="shared" si="18"/>
        <v/>
      </c>
      <c r="F95" s="109" t="str">
        <f t="shared" si="24"/>
        <v/>
      </c>
      <c r="G95" s="161" t="str">
        <f t="shared" si="25"/>
        <v/>
      </c>
      <c r="H95" s="166" t="str">
        <f t="shared" si="19"/>
        <v/>
      </c>
      <c r="I95" s="166" t="str">
        <f t="shared" si="26"/>
        <v/>
      </c>
      <c r="J95" s="34" t="str">
        <f t="shared" si="20"/>
        <v/>
      </c>
      <c r="K95" s="84"/>
      <c r="L95" s="120" t="str">
        <f t="shared" si="21"/>
        <v/>
      </c>
      <c r="M95" s="119" t="str">
        <f t="shared" si="27"/>
        <v/>
      </c>
      <c r="N95" s="167" t="str">
        <f t="shared" si="22"/>
        <v/>
      </c>
      <c r="O95" s="119" t="str">
        <f t="shared" si="28"/>
        <v/>
      </c>
      <c r="P95" s="119" t="str">
        <f t="shared" si="29"/>
        <v/>
      </c>
      <c r="Q95" s="113" t="str">
        <f t="shared" si="30"/>
        <v/>
      </c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84"/>
      <c r="AM95" s="84"/>
      <c r="AN95" s="84"/>
      <c r="AO95" s="84"/>
      <c r="AP95" s="84"/>
      <c r="AQ95" s="84"/>
      <c r="AR95" s="84"/>
      <c r="AS95" s="84"/>
      <c r="AT95" s="84"/>
      <c r="AU95" s="84"/>
      <c r="AV95" s="84"/>
      <c r="AW95" s="84"/>
      <c r="AX95" s="84"/>
      <c r="AY95" s="84"/>
      <c r="AZ95" s="84"/>
      <c r="BA95" s="84"/>
      <c r="BB95" s="84"/>
      <c r="BC95" s="84"/>
      <c r="BD95" s="84"/>
      <c r="BE95" s="84"/>
      <c r="BF95" s="84"/>
      <c r="BG95" s="84"/>
      <c r="BH95" s="84"/>
      <c r="BI95" s="84"/>
      <c r="BJ95" s="84"/>
      <c r="BK95" s="84"/>
      <c r="BL95" s="84"/>
      <c r="BM95" s="84"/>
      <c r="BN95" s="84"/>
      <c r="BO95" s="84"/>
      <c r="BP95" s="84"/>
    </row>
    <row r="96" spans="1:68" ht="15.75" thickBot="1">
      <c r="A96" s="2"/>
      <c r="B96" s="23"/>
      <c r="C96" s="23"/>
      <c r="D96" s="72" t="str">
        <f t="shared" si="23"/>
        <v/>
      </c>
      <c r="E96" s="171" t="str">
        <f t="shared" si="18"/>
        <v/>
      </c>
      <c r="F96" s="109" t="str">
        <f t="shared" si="24"/>
        <v/>
      </c>
      <c r="G96" s="161" t="str">
        <f t="shared" si="25"/>
        <v/>
      </c>
      <c r="H96" s="166" t="str">
        <f t="shared" si="19"/>
        <v/>
      </c>
      <c r="I96" s="166" t="str">
        <f t="shared" si="26"/>
        <v/>
      </c>
      <c r="J96" s="34" t="str">
        <f t="shared" si="20"/>
        <v/>
      </c>
      <c r="K96" s="84"/>
      <c r="L96" s="120" t="str">
        <f t="shared" si="21"/>
        <v/>
      </c>
      <c r="M96" s="119" t="str">
        <f t="shared" si="27"/>
        <v/>
      </c>
      <c r="N96" s="167" t="str">
        <f t="shared" si="22"/>
        <v/>
      </c>
      <c r="O96" s="119" t="str">
        <f t="shared" si="28"/>
        <v/>
      </c>
      <c r="P96" s="119" t="str">
        <f t="shared" si="29"/>
        <v/>
      </c>
      <c r="Q96" s="113" t="str">
        <f t="shared" si="30"/>
        <v/>
      </c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  <c r="AO96" s="84"/>
      <c r="AP96" s="84"/>
      <c r="AQ96" s="84"/>
      <c r="AR96" s="84"/>
      <c r="AS96" s="84"/>
      <c r="AT96" s="84"/>
      <c r="AU96" s="84"/>
      <c r="AV96" s="84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  <c r="BH96" s="84"/>
      <c r="BI96" s="84"/>
      <c r="BJ96" s="84"/>
      <c r="BK96" s="84"/>
      <c r="BL96" s="84"/>
      <c r="BM96" s="84"/>
      <c r="BN96" s="84"/>
      <c r="BO96" s="84"/>
      <c r="BP96" s="84"/>
    </row>
    <row r="97" spans="1:68" ht="15.75" thickBot="1">
      <c r="A97" s="2"/>
      <c r="B97" s="23"/>
      <c r="C97" s="23"/>
      <c r="D97" s="72" t="str">
        <f t="shared" si="23"/>
        <v/>
      </c>
      <c r="E97" s="171" t="str">
        <f t="shared" si="18"/>
        <v/>
      </c>
      <c r="F97" s="109" t="str">
        <f t="shared" si="24"/>
        <v/>
      </c>
      <c r="G97" s="161" t="str">
        <f t="shared" si="25"/>
        <v/>
      </c>
      <c r="H97" s="166" t="str">
        <f t="shared" si="19"/>
        <v/>
      </c>
      <c r="I97" s="166" t="str">
        <f t="shared" si="26"/>
        <v/>
      </c>
      <c r="J97" s="34" t="str">
        <f t="shared" si="20"/>
        <v/>
      </c>
      <c r="K97" s="84"/>
      <c r="L97" s="120" t="str">
        <f t="shared" si="21"/>
        <v/>
      </c>
      <c r="M97" s="119" t="str">
        <f t="shared" si="27"/>
        <v/>
      </c>
      <c r="N97" s="167" t="str">
        <f t="shared" si="22"/>
        <v/>
      </c>
      <c r="O97" s="119" t="str">
        <f t="shared" si="28"/>
        <v/>
      </c>
      <c r="P97" s="119" t="str">
        <f t="shared" si="29"/>
        <v/>
      </c>
      <c r="Q97" s="113" t="str">
        <f t="shared" si="30"/>
        <v/>
      </c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  <c r="AO97" s="84"/>
      <c r="AP97" s="84"/>
      <c r="AQ97" s="84"/>
      <c r="AR97" s="84"/>
      <c r="AS97" s="84"/>
      <c r="AT97" s="84"/>
      <c r="AU97" s="84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  <c r="BN97" s="84"/>
      <c r="BO97" s="84"/>
      <c r="BP97" s="84"/>
    </row>
    <row r="98" spans="1:68" ht="15.75" thickBot="1">
      <c r="A98" s="2"/>
      <c r="B98" s="23"/>
      <c r="C98" s="23"/>
      <c r="D98" s="72" t="str">
        <f t="shared" si="23"/>
        <v/>
      </c>
      <c r="E98" s="171" t="str">
        <f t="shared" si="18"/>
        <v/>
      </c>
      <c r="F98" s="109" t="str">
        <f t="shared" si="24"/>
        <v/>
      </c>
      <c r="G98" s="161" t="str">
        <f t="shared" si="25"/>
        <v/>
      </c>
      <c r="H98" s="166" t="str">
        <f t="shared" si="19"/>
        <v/>
      </c>
      <c r="I98" s="166" t="str">
        <f t="shared" si="26"/>
        <v/>
      </c>
      <c r="J98" s="34" t="str">
        <f t="shared" si="20"/>
        <v/>
      </c>
      <c r="K98" s="84"/>
      <c r="L98" s="120" t="str">
        <f t="shared" si="21"/>
        <v/>
      </c>
      <c r="M98" s="119" t="str">
        <f t="shared" si="27"/>
        <v/>
      </c>
      <c r="N98" s="167" t="str">
        <f t="shared" si="22"/>
        <v/>
      </c>
      <c r="O98" s="119" t="str">
        <f t="shared" si="28"/>
        <v/>
      </c>
      <c r="P98" s="119" t="str">
        <f t="shared" si="29"/>
        <v/>
      </c>
      <c r="Q98" s="113" t="str">
        <f t="shared" si="30"/>
        <v/>
      </c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  <c r="AO98" s="84"/>
      <c r="AP98" s="84"/>
      <c r="AQ98" s="84"/>
      <c r="AR98" s="84"/>
      <c r="AS98" s="84"/>
      <c r="AT98" s="84"/>
      <c r="AU98" s="84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  <c r="BN98" s="84"/>
      <c r="BO98" s="84"/>
      <c r="BP98" s="84"/>
    </row>
    <row r="99" spans="1:68" ht="15.75" thickBot="1">
      <c r="A99" s="2"/>
      <c r="B99" s="23"/>
      <c r="C99" s="23"/>
      <c r="D99" s="72" t="str">
        <f t="shared" si="23"/>
        <v/>
      </c>
      <c r="E99" s="171" t="str">
        <f t="shared" si="18"/>
        <v/>
      </c>
      <c r="F99" s="109" t="str">
        <f t="shared" si="24"/>
        <v/>
      </c>
      <c r="G99" s="161" t="str">
        <f t="shared" si="25"/>
        <v/>
      </c>
      <c r="H99" s="166" t="str">
        <f t="shared" si="19"/>
        <v/>
      </c>
      <c r="I99" s="166" t="str">
        <f t="shared" si="26"/>
        <v/>
      </c>
      <c r="J99" s="34" t="str">
        <f t="shared" si="20"/>
        <v/>
      </c>
      <c r="K99" s="84"/>
      <c r="L99" s="120" t="str">
        <f t="shared" si="21"/>
        <v/>
      </c>
      <c r="M99" s="119" t="str">
        <f t="shared" si="27"/>
        <v/>
      </c>
      <c r="N99" s="167" t="str">
        <f t="shared" si="22"/>
        <v/>
      </c>
      <c r="O99" s="119" t="str">
        <f t="shared" si="28"/>
        <v/>
      </c>
      <c r="P99" s="119" t="str">
        <f t="shared" si="29"/>
        <v/>
      </c>
      <c r="Q99" s="113" t="str">
        <f t="shared" si="30"/>
        <v/>
      </c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  <c r="AO99" s="84"/>
      <c r="AP99" s="84"/>
      <c r="AQ99" s="84"/>
      <c r="AR99" s="84"/>
      <c r="AS99" s="84"/>
      <c r="AT99" s="84"/>
      <c r="AU99" s="84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  <c r="BN99" s="84"/>
      <c r="BO99" s="84"/>
      <c r="BP99" s="84"/>
    </row>
    <row r="100" spans="1:68" ht="15.75" thickBot="1">
      <c r="A100" s="2"/>
      <c r="B100" s="23"/>
      <c r="C100" s="23"/>
      <c r="D100" s="72" t="str">
        <f t="shared" si="23"/>
        <v/>
      </c>
      <c r="E100" s="171" t="str">
        <f t="shared" si="18"/>
        <v/>
      </c>
      <c r="F100" s="109" t="str">
        <f t="shared" si="24"/>
        <v/>
      </c>
      <c r="G100" s="161" t="str">
        <f t="shared" si="25"/>
        <v/>
      </c>
      <c r="H100" s="166" t="str">
        <f t="shared" si="19"/>
        <v/>
      </c>
      <c r="I100" s="166" t="str">
        <f t="shared" si="26"/>
        <v/>
      </c>
      <c r="J100" s="34" t="str">
        <f t="shared" si="20"/>
        <v/>
      </c>
      <c r="K100" s="84"/>
      <c r="L100" s="120" t="str">
        <f t="shared" si="21"/>
        <v/>
      </c>
      <c r="M100" s="119" t="str">
        <f t="shared" si="27"/>
        <v/>
      </c>
      <c r="N100" s="167" t="str">
        <f t="shared" si="22"/>
        <v/>
      </c>
      <c r="O100" s="119" t="str">
        <f t="shared" si="28"/>
        <v/>
      </c>
      <c r="P100" s="119" t="str">
        <f t="shared" si="29"/>
        <v/>
      </c>
      <c r="Q100" s="113" t="str">
        <f t="shared" si="30"/>
        <v/>
      </c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4"/>
      <c r="AY100" s="84"/>
      <c r="AZ100" s="84"/>
      <c r="BA100" s="84"/>
      <c r="BB100" s="84"/>
      <c r="BC100" s="84"/>
      <c r="BD100" s="84"/>
      <c r="BE100" s="84"/>
      <c r="BF100" s="84"/>
      <c r="BG100" s="84"/>
      <c r="BH100" s="84"/>
      <c r="BI100" s="84"/>
      <c r="BJ100" s="84"/>
      <c r="BK100" s="84"/>
      <c r="BL100" s="84"/>
      <c r="BM100" s="84"/>
      <c r="BN100" s="84"/>
      <c r="BO100" s="84"/>
      <c r="BP100" s="84"/>
    </row>
    <row r="101" spans="1:68" ht="15.75" thickBot="1">
      <c r="A101" s="2"/>
      <c r="B101" s="23"/>
      <c r="C101" s="23"/>
      <c r="D101" s="72" t="str">
        <f t="shared" si="23"/>
        <v/>
      </c>
      <c r="E101" s="171" t="str">
        <f t="shared" si="18"/>
        <v/>
      </c>
      <c r="F101" s="109" t="str">
        <f t="shared" si="24"/>
        <v/>
      </c>
      <c r="G101" s="161" t="str">
        <f t="shared" si="25"/>
        <v/>
      </c>
      <c r="H101" s="166" t="str">
        <f t="shared" si="19"/>
        <v/>
      </c>
      <c r="I101" s="166" t="str">
        <f t="shared" si="26"/>
        <v/>
      </c>
      <c r="J101" s="34" t="str">
        <f t="shared" si="20"/>
        <v/>
      </c>
      <c r="K101" s="84"/>
      <c r="L101" s="120" t="str">
        <f t="shared" si="21"/>
        <v/>
      </c>
      <c r="M101" s="119" t="str">
        <f t="shared" si="27"/>
        <v/>
      </c>
      <c r="N101" s="167" t="str">
        <f t="shared" si="22"/>
        <v/>
      </c>
      <c r="O101" s="119" t="str">
        <f t="shared" si="28"/>
        <v/>
      </c>
      <c r="P101" s="119" t="str">
        <f t="shared" si="29"/>
        <v/>
      </c>
      <c r="Q101" s="113" t="str">
        <f t="shared" si="30"/>
        <v/>
      </c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  <c r="AO101" s="84"/>
      <c r="AP101" s="84"/>
      <c r="AQ101" s="84"/>
      <c r="AR101" s="84"/>
      <c r="AS101" s="84"/>
      <c r="AT101" s="84"/>
      <c r="AU101" s="84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  <c r="BN101" s="84"/>
      <c r="BO101" s="84"/>
      <c r="BP101" s="84"/>
    </row>
    <row r="102" spans="1:68" ht="15.75" thickBot="1">
      <c r="A102" s="2"/>
      <c r="B102" s="23"/>
      <c r="C102" s="23"/>
      <c r="D102" s="72" t="str">
        <f t="shared" si="23"/>
        <v/>
      </c>
      <c r="E102" s="171" t="str">
        <f t="shared" si="18"/>
        <v/>
      </c>
      <c r="F102" s="109" t="str">
        <f t="shared" si="24"/>
        <v/>
      </c>
      <c r="G102" s="161" t="str">
        <f t="shared" si="25"/>
        <v/>
      </c>
      <c r="H102" s="166" t="str">
        <f t="shared" si="19"/>
        <v/>
      </c>
      <c r="I102" s="166" t="str">
        <f t="shared" si="26"/>
        <v/>
      </c>
      <c r="J102" s="34" t="str">
        <f t="shared" si="20"/>
        <v/>
      </c>
      <c r="K102" s="84"/>
      <c r="L102" s="120" t="str">
        <f t="shared" si="21"/>
        <v/>
      </c>
      <c r="M102" s="119" t="str">
        <f t="shared" si="27"/>
        <v/>
      </c>
      <c r="N102" s="167" t="str">
        <f t="shared" si="22"/>
        <v/>
      </c>
      <c r="O102" s="119" t="str">
        <f t="shared" si="28"/>
        <v/>
      </c>
      <c r="P102" s="119" t="str">
        <f t="shared" si="29"/>
        <v/>
      </c>
      <c r="Q102" s="113" t="str">
        <f t="shared" si="30"/>
        <v/>
      </c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  <c r="AO102" s="84"/>
      <c r="AP102" s="84"/>
      <c r="AQ102" s="84"/>
      <c r="AR102" s="84"/>
      <c r="AS102" s="84"/>
      <c r="AT102" s="84"/>
      <c r="AU102" s="84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  <c r="BN102" s="84"/>
      <c r="BO102" s="84"/>
      <c r="BP102" s="84"/>
    </row>
    <row r="103" spans="1:68" ht="15.75" thickBot="1">
      <c r="A103" s="2"/>
      <c r="B103" s="23"/>
      <c r="C103" s="23"/>
      <c r="D103" s="72" t="str">
        <f t="shared" si="23"/>
        <v/>
      </c>
      <c r="E103" s="171" t="str">
        <f t="shared" si="18"/>
        <v/>
      </c>
      <c r="F103" s="109" t="str">
        <f t="shared" si="24"/>
        <v/>
      </c>
      <c r="G103" s="161" t="str">
        <f t="shared" si="25"/>
        <v/>
      </c>
      <c r="H103" s="166" t="str">
        <f t="shared" si="19"/>
        <v/>
      </c>
      <c r="I103" s="166" t="str">
        <f t="shared" si="26"/>
        <v/>
      </c>
      <c r="J103" s="34" t="str">
        <f t="shared" si="20"/>
        <v/>
      </c>
      <c r="K103" s="84"/>
      <c r="L103" s="120" t="str">
        <f t="shared" si="21"/>
        <v/>
      </c>
      <c r="M103" s="119" t="str">
        <f t="shared" si="27"/>
        <v/>
      </c>
      <c r="N103" s="167" t="str">
        <f t="shared" si="22"/>
        <v/>
      </c>
      <c r="O103" s="119" t="str">
        <f t="shared" si="28"/>
        <v/>
      </c>
      <c r="P103" s="119" t="str">
        <f t="shared" si="29"/>
        <v/>
      </c>
      <c r="Q103" s="113" t="str">
        <f t="shared" si="30"/>
        <v/>
      </c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  <c r="AL103" s="84"/>
      <c r="AM103" s="84"/>
      <c r="AN103" s="84"/>
      <c r="AO103" s="84"/>
      <c r="AP103" s="84"/>
      <c r="AQ103" s="84"/>
      <c r="AR103" s="84"/>
      <c r="AS103" s="84"/>
      <c r="AT103" s="84"/>
      <c r="AU103" s="84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  <c r="BN103" s="84"/>
      <c r="BO103" s="84"/>
      <c r="BP103" s="84"/>
    </row>
    <row r="104" spans="1:68" ht="15.75" thickBot="1">
      <c r="A104" s="2"/>
      <c r="B104" s="23"/>
      <c r="C104" s="23"/>
      <c r="D104" s="72" t="str">
        <f t="shared" si="23"/>
        <v/>
      </c>
      <c r="E104" s="171" t="str">
        <f t="shared" si="18"/>
        <v/>
      </c>
      <c r="F104" s="109" t="str">
        <f t="shared" si="24"/>
        <v/>
      </c>
      <c r="G104" s="161" t="str">
        <f t="shared" si="25"/>
        <v/>
      </c>
      <c r="H104" s="166" t="str">
        <f t="shared" si="19"/>
        <v/>
      </c>
      <c r="I104" s="166" t="str">
        <f t="shared" si="26"/>
        <v/>
      </c>
      <c r="J104" s="34" t="str">
        <f t="shared" si="20"/>
        <v/>
      </c>
      <c r="K104" s="84"/>
      <c r="L104" s="120" t="str">
        <f t="shared" si="21"/>
        <v/>
      </c>
      <c r="M104" s="119" t="str">
        <f t="shared" si="27"/>
        <v/>
      </c>
      <c r="N104" s="167" t="str">
        <f t="shared" si="22"/>
        <v/>
      </c>
      <c r="O104" s="119" t="str">
        <f t="shared" si="28"/>
        <v/>
      </c>
      <c r="P104" s="119" t="str">
        <f t="shared" si="29"/>
        <v/>
      </c>
      <c r="Q104" s="113" t="str">
        <f t="shared" si="30"/>
        <v/>
      </c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  <c r="AO104" s="84"/>
      <c r="AP104" s="84"/>
      <c r="AQ104" s="84"/>
      <c r="AR104" s="84"/>
      <c r="AS104" s="84"/>
      <c r="AT104" s="84"/>
      <c r="AU104" s="84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  <c r="BN104" s="84"/>
      <c r="BO104" s="84"/>
      <c r="BP104" s="84"/>
    </row>
    <row r="105" spans="1:68" ht="15.75" thickBot="1">
      <c r="A105" s="2"/>
      <c r="B105" s="24"/>
      <c r="C105" s="24"/>
      <c r="D105" s="72" t="str">
        <f t="shared" si="23"/>
        <v/>
      </c>
      <c r="E105" s="171" t="str">
        <f t="shared" ref="E105:E116" si="31">IF(C105&gt;0,SQRT((G105*(1-G105))/C105),"")</f>
        <v/>
      </c>
      <c r="F105" s="109" t="str">
        <f t="shared" si="24"/>
        <v/>
      </c>
      <c r="G105" s="161" t="str">
        <f t="shared" si="25"/>
        <v/>
      </c>
      <c r="H105" s="166" t="str">
        <f t="shared" ref="H105:H116" si="32">IF(C105&gt;0,G105+E105*3,"")</f>
        <v/>
      </c>
      <c r="I105" s="166" t="str">
        <f t="shared" si="26"/>
        <v/>
      </c>
      <c r="J105" s="34" t="str">
        <f t="shared" ref="J105:J116" si="33">IF(C105&gt;0,G105-E105*3,"")</f>
        <v/>
      </c>
      <c r="K105" s="84"/>
      <c r="L105" s="120" t="str">
        <f t="shared" ref="L105:L116" si="34">IF(C105&gt;0,SQRT((N105*(1-N105))/($N$3)),"")</f>
        <v/>
      </c>
      <c r="M105" s="119" t="str">
        <f t="shared" si="27"/>
        <v/>
      </c>
      <c r="N105" s="167" t="str">
        <f t="shared" ref="N105:N116" si="35">IF(C105&gt;0,$N$2,"")</f>
        <v/>
      </c>
      <c r="O105" s="119" t="str">
        <f t="shared" si="28"/>
        <v/>
      </c>
      <c r="P105" s="119" t="str">
        <f t="shared" si="29"/>
        <v/>
      </c>
      <c r="Q105" s="113" t="str">
        <f t="shared" si="30"/>
        <v/>
      </c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  <c r="AO105" s="84"/>
      <c r="AP105" s="84"/>
      <c r="AQ105" s="84"/>
      <c r="AR105" s="84"/>
      <c r="AS105" s="84"/>
      <c r="AT105" s="84"/>
      <c r="AU105" s="84"/>
      <c r="AV105" s="84"/>
      <c r="AW105" s="84"/>
      <c r="AX105" s="84"/>
      <c r="AY105" s="84"/>
      <c r="AZ105" s="84"/>
      <c r="BA105" s="84"/>
      <c r="BB105" s="84"/>
      <c r="BC105" s="84"/>
      <c r="BD105" s="84"/>
      <c r="BE105" s="84"/>
      <c r="BF105" s="84"/>
      <c r="BG105" s="84"/>
      <c r="BH105" s="84"/>
      <c r="BI105" s="84"/>
      <c r="BJ105" s="84"/>
      <c r="BK105" s="84"/>
      <c r="BL105" s="84"/>
      <c r="BM105" s="84"/>
      <c r="BN105" s="84"/>
      <c r="BO105" s="84"/>
      <c r="BP105" s="84"/>
    </row>
    <row r="106" spans="1:68" ht="15.75" thickBot="1">
      <c r="A106" s="2"/>
      <c r="B106" s="24"/>
      <c r="C106" s="24"/>
      <c r="D106" s="72" t="str">
        <f t="shared" si="23"/>
        <v/>
      </c>
      <c r="E106" s="171" t="str">
        <f t="shared" si="31"/>
        <v/>
      </c>
      <c r="F106" s="109" t="str">
        <f t="shared" si="24"/>
        <v/>
      </c>
      <c r="G106" s="161" t="str">
        <f t="shared" si="25"/>
        <v/>
      </c>
      <c r="H106" s="166" t="str">
        <f t="shared" si="32"/>
        <v/>
      </c>
      <c r="I106" s="166" t="str">
        <f t="shared" si="26"/>
        <v/>
      </c>
      <c r="J106" s="34" t="str">
        <f t="shared" si="33"/>
        <v/>
      </c>
      <c r="K106" s="84"/>
      <c r="L106" s="120" t="str">
        <f t="shared" si="34"/>
        <v/>
      </c>
      <c r="M106" s="119" t="str">
        <f t="shared" si="27"/>
        <v/>
      </c>
      <c r="N106" s="167" t="str">
        <f t="shared" si="35"/>
        <v/>
      </c>
      <c r="O106" s="119" t="str">
        <f t="shared" si="28"/>
        <v/>
      </c>
      <c r="P106" s="119" t="str">
        <f t="shared" si="29"/>
        <v/>
      </c>
      <c r="Q106" s="113" t="str">
        <f t="shared" si="30"/>
        <v/>
      </c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  <c r="AO106" s="84"/>
      <c r="AP106" s="84"/>
      <c r="AQ106" s="84"/>
      <c r="AR106" s="84"/>
      <c r="AS106" s="84"/>
      <c r="AT106" s="84"/>
      <c r="AU106" s="84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  <c r="BN106" s="84"/>
      <c r="BO106" s="84"/>
      <c r="BP106" s="84"/>
    </row>
    <row r="107" spans="1:68" ht="15.75" thickBot="1">
      <c r="A107" s="2"/>
      <c r="B107" s="24"/>
      <c r="C107" s="24"/>
      <c r="D107" s="72" t="str">
        <f t="shared" si="23"/>
        <v/>
      </c>
      <c r="E107" s="171" t="str">
        <f t="shared" si="31"/>
        <v/>
      </c>
      <c r="F107" s="109" t="str">
        <f t="shared" si="24"/>
        <v/>
      </c>
      <c r="G107" s="161" t="str">
        <f t="shared" si="25"/>
        <v/>
      </c>
      <c r="H107" s="166" t="str">
        <f t="shared" si="32"/>
        <v/>
      </c>
      <c r="I107" s="166" t="str">
        <f t="shared" si="26"/>
        <v/>
      </c>
      <c r="J107" s="34" t="str">
        <f t="shared" si="33"/>
        <v/>
      </c>
      <c r="K107" s="84"/>
      <c r="L107" s="120" t="str">
        <f t="shared" si="34"/>
        <v/>
      </c>
      <c r="M107" s="119" t="str">
        <f t="shared" si="27"/>
        <v/>
      </c>
      <c r="N107" s="167" t="str">
        <f t="shared" si="35"/>
        <v/>
      </c>
      <c r="O107" s="119" t="str">
        <f t="shared" si="28"/>
        <v/>
      </c>
      <c r="P107" s="119" t="str">
        <f t="shared" si="29"/>
        <v/>
      </c>
      <c r="Q107" s="113" t="str">
        <f t="shared" si="30"/>
        <v/>
      </c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  <c r="AO107" s="84"/>
      <c r="AP107" s="84"/>
      <c r="AQ107" s="84"/>
      <c r="AR107" s="84"/>
      <c r="AS107" s="84"/>
      <c r="AT107" s="84"/>
      <c r="AU107" s="84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  <c r="BN107" s="84"/>
      <c r="BO107" s="84"/>
      <c r="BP107" s="84"/>
    </row>
    <row r="108" spans="1:68" ht="15.75" thickBot="1">
      <c r="A108" s="2"/>
      <c r="B108" s="24"/>
      <c r="C108" s="24"/>
      <c r="D108" s="72" t="str">
        <f t="shared" si="23"/>
        <v/>
      </c>
      <c r="E108" s="171" t="str">
        <f t="shared" si="31"/>
        <v/>
      </c>
      <c r="F108" s="109" t="str">
        <f t="shared" si="24"/>
        <v/>
      </c>
      <c r="G108" s="161" t="str">
        <f t="shared" si="25"/>
        <v/>
      </c>
      <c r="H108" s="166" t="str">
        <f t="shared" si="32"/>
        <v/>
      </c>
      <c r="I108" s="166" t="str">
        <f t="shared" si="26"/>
        <v/>
      </c>
      <c r="J108" s="34" t="str">
        <f t="shared" si="33"/>
        <v/>
      </c>
      <c r="K108" s="84"/>
      <c r="L108" s="120" t="str">
        <f t="shared" si="34"/>
        <v/>
      </c>
      <c r="M108" s="119" t="str">
        <f>F108</f>
        <v/>
      </c>
      <c r="N108" s="167" t="str">
        <f t="shared" si="35"/>
        <v/>
      </c>
      <c r="O108" s="119" t="str">
        <f t="shared" si="28"/>
        <v/>
      </c>
      <c r="P108" s="119" t="str">
        <f t="shared" si="29"/>
        <v/>
      </c>
      <c r="Q108" s="113" t="str">
        <f t="shared" si="30"/>
        <v/>
      </c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  <c r="AC108" s="84"/>
      <c r="AD108" s="84"/>
      <c r="AE108" s="84"/>
      <c r="AF108" s="84"/>
      <c r="AG108" s="84"/>
      <c r="AH108" s="84"/>
      <c r="AI108" s="84"/>
      <c r="AJ108" s="84"/>
      <c r="AK108" s="84"/>
      <c r="AL108" s="84"/>
      <c r="AM108" s="84"/>
      <c r="AN108" s="84"/>
      <c r="AO108" s="84"/>
      <c r="AP108" s="84"/>
      <c r="AQ108" s="84"/>
      <c r="AR108" s="84"/>
      <c r="AS108" s="84"/>
      <c r="AT108" s="84"/>
      <c r="AU108" s="84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  <c r="BN108" s="84"/>
      <c r="BO108" s="84"/>
      <c r="BP108" s="84"/>
    </row>
    <row r="109" spans="1:68" ht="15.75" thickBot="1">
      <c r="A109" s="2"/>
      <c r="B109" s="24"/>
      <c r="C109" s="24"/>
      <c r="D109" s="72" t="str">
        <f t="shared" si="23"/>
        <v/>
      </c>
      <c r="E109" s="171" t="str">
        <f t="shared" si="31"/>
        <v/>
      </c>
      <c r="F109" s="109" t="str">
        <f t="shared" si="24"/>
        <v/>
      </c>
      <c r="G109" s="161" t="str">
        <f t="shared" si="25"/>
        <v/>
      </c>
      <c r="H109" s="166" t="str">
        <f t="shared" si="32"/>
        <v/>
      </c>
      <c r="I109" s="166" t="str">
        <f t="shared" si="26"/>
        <v/>
      </c>
      <c r="J109" s="34" t="str">
        <f t="shared" si="33"/>
        <v/>
      </c>
      <c r="K109" s="84"/>
      <c r="L109" s="120" t="str">
        <f t="shared" si="34"/>
        <v/>
      </c>
      <c r="M109" s="119" t="str">
        <f t="shared" si="27"/>
        <v/>
      </c>
      <c r="N109" s="167" t="str">
        <f t="shared" si="35"/>
        <v/>
      </c>
      <c r="O109" s="119" t="str">
        <f t="shared" si="28"/>
        <v/>
      </c>
      <c r="P109" s="119" t="str">
        <f t="shared" si="29"/>
        <v/>
      </c>
      <c r="Q109" s="113" t="str">
        <f t="shared" si="30"/>
        <v/>
      </c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  <c r="AC109" s="84"/>
      <c r="AD109" s="84"/>
      <c r="AE109" s="84"/>
      <c r="AF109" s="84"/>
      <c r="AG109" s="84"/>
      <c r="AH109" s="84"/>
      <c r="AI109" s="84"/>
      <c r="AJ109" s="84"/>
      <c r="AK109" s="84"/>
      <c r="AL109" s="84"/>
      <c r="AM109" s="84"/>
      <c r="AN109" s="84"/>
      <c r="AO109" s="84"/>
      <c r="AP109" s="84"/>
      <c r="AQ109" s="84"/>
      <c r="AR109" s="84"/>
      <c r="AS109" s="84"/>
      <c r="AT109" s="84"/>
      <c r="AU109" s="84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  <c r="BN109" s="84"/>
      <c r="BO109" s="84"/>
      <c r="BP109" s="84"/>
    </row>
    <row r="110" spans="1:68" ht="15.75" thickBot="1">
      <c r="A110" s="2"/>
      <c r="B110" s="24"/>
      <c r="C110" s="24"/>
      <c r="D110" s="72" t="str">
        <f t="shared" si="23"/>
        <v/>
      </c>
      <c r="E110" s="171" t="str">
        <f t="shared" si="31"/>
        <v/>
      </c>
      <c r="F110" s="109" t="str">
        <f t="shared" si="24"/>
        <v/>
      </c>
      <c r="G110" s="161" t="str">
        <f t="shared" si="25"/>
        <v/>
      </c>
      <c r="H110" s="166" t="str">
        <f t="shared" si="32"/>
        <v/>
      </c>
      <c r="I110" s="166" t="str">
        <f t="shared" si="26"/>
        <v/>
      </c>
      <c r="J110" s="34" t="str">
        <f t="shared" si="33"/>
        <v/>
      </c>
      <c r="K110" s="84"/>
      <c r="L110" s="120" t="str">
        <f t="shared" si="34"/>
        <v/>
      </c>
      <c r="M110" s="119" t="str">
        <f t="shared" si="27"/>
        <v/>
      </c>
      <c r="N110" s="167" t="str">
        <f t="shared" si="35"/>
        <v/>
      </c>
      <c r="O110" s="119" t="str">
        <f t="shared" si="28"/>
        <v/>
      </c>
      <c r="P110" s="119" t="str">
        <f t="shared" si="29"/>
        <v/>
      </c>
      <c r="Q110" s="113" t="str">
        <f t="shared" si="30"/>
        <v/>
      </c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  <c r="AL110" s="84"/>
      <c r="AM110" s="84"/>
      <c r="AN110" s="84"/>
      <c r="AO110" s="84"/>
      <c r="AP110" s="84"/>
      <c r="AQ110" s="84"/>
      <c r="AR110" s="84"/>
      <c r="AS110" s="84"/>
      <c r="AT110" s="84"/>
      <c r="AU110" s="84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  <c r="BN110" s="84"/>
      <c r="BO110" s="84"/>
      <c r="BP110" s="84"/>
    </row>
    <row r="111" spans="1:68" ht="15.75" thickBot="1">
      <c r="A111" s="2"/>
      <c r="B111" s="24"/>
      <c r="C111" s="24"/>
      <c r="D111" s="72" t="str">
        <f t="shared" si="23"/>
        <v/>
      </c>
      <c r="E111" s="171" t="str">
        <f t="shared" si="31"/>
        <v/>
      </c>
      <c r="F111" s="109" t="str">
        <f t="shared" si="24"/>
        <v/>
      </c>
      <c r="G111" s="161" t="str">
        <f t="shared" si="25"/>
        <v/>
      </c>
      <c r="H111" s="166" t="str">
        <f t="shared" si="32"/>
        <v/>
      </c>
      <c r="I111" s="166" t="str">
        <f t="shared" si="26"/>
        <v/>
      </c>
      <c r="J111" s="34" t="str">
        <f t="shared" si="33"/>
        <v/>
      </c>
      <c r="K111" s="84"/>
      <c r="L111" s="120" t="str">
        <f t="shared" si="34"/>
        <v/>
      </c>
      <c r="M111" s="119" t="str">
        <f t="shared" si="27"/>
        <v/>
      </c>
      <c r="N111" s="167" t="str">
        <f t="shared" si="35"/>
        <v/>
      </c>
      <c r="O111" s="119" t="str">
        <f t="shared" si="28"/>
        <v/>
      </c>
      <c r="P111" s="119" t="str">
        <f t="shared" si="29"/>
        <v/>
      </c>
      <c r="Q111" s="113" t="str">
        <f t="shared" si="30"/>
        <v/>
      </c>
      <c r="R111" s="84"/>
      <c r="S111" s="84"/>
      <c r="T111" s="84"/>
      <c r="U111" s="84"/>
      <c r="V111" s="84"/>
      <c r="W111" s="84"/>
      <c r="X111" s="84"/>
      <c r="Y111" s="84"/>
      <c r="Z111" s="84"/>
      <c r="AA111" s="84"/>
      <c r="AB111" s="84"/>
      <c r="AC111" s="84"/>
      <c r="AD111" s="84"/>
      <c r="AE111" s="84"/>
      <c r="AF111" s="84"/>
      <c r="AG111" s="84"/>
      <c r="AH111" s="84"/>
      <c r="AI111" s="84"/>
      <c r="AJ111" s="84"/>
      <c r="AK111" s="84"/>
      <c r="AL111" s="84"/>
      <c r="AM111" s="84"/>
      <c r="AN111" s="84"/>
      <c r="AO111" s="84"/>
      <c r="AP111" s="84"/>
      <c r="AQ111" s="84"/>
      <c r="AR111" s="84"/>
      <c r="AS111" s="84"/>
      <c r="AT111" s="84"/>
      <c r="AU111" s="84"/>
      <c r="AV111" s="84"/>
      <c r="AW111" s="84"/>
      <c r="AX111" s="84"/>
      <c r="AY111" s="84"/>
      <c r="AZ111" s="84"/>
      <c r="BA111" s="84"/>
      <c r="BB111" s="84"/>
      <c r="BC111" s="84"/>
      <c r="BD111" s="84"/>
      <c r="BE111" s="84"/>
      <c r="BF111" s="84"/>
      <c r="BG111" s="84"/>
      <c r="BH111" s="84"/>
      <c r="BI111" s="84"/>
      <c r="BJ111" s="84"/>
      <c r="BK111" s="84"/>
      <c r="BL111" s="84"/>
      <c r="BM111" s="84"/>
      <c r="BN111" s="84"/>
      <c r="BO111" s="84"/>
      <c r="BP111" s="84"/>
    </row>
    <row r="112" spans="1:68" ht="15.75" thickBot="1">
      <c r="A112" s="2"/>
      <c r="B112" s="24"/>
      <c r="C112" s="24"/>
      <c r="D112" s="72" t="str">
        <f t="shared" si="23"/>
        <v/>
      </c>
      <c r="E112" s="171" t="str">
        <f t="shared" si="31"/>
        <v/>
      </c>
      <c r="F112" s="109" t="str">
        <f t="shared" si="24"/>
        <v/>
      </c>
      <c r="G112" s="161" t="str">
        <f t="shared" si="25"/>
        <v/>
      </c>
      <c r="H112" s="166" t="str">
        <f t="shared" si="32"/>
        <v/>
      </c>
      <c r="I112" s="166" t="str">
        <f t="shared" si="26"/>
        <v/>
      </c>
      <c r="J112" s="34" t="str">
        <f t="shared" si="33"/>
        <v/>
      </c>
      <c r="K112" s="84"/>
      <c r="L112" s="120" t="str">
        <f t="shared" si="34"/>
        <v/>
      </c>
      <c r="M112" s="119" t="str">
        <f t="shared" si="27"/>
        <v/>
      </c>
      <c r="N112" s="167" t="str">
        <f t="shared" si="35"/>
        <v/>
      </c>
      <c r="O112" s="119" t="str">
        <f t="shared" si="28"/>
        <v/>
      </c>
      <c r="P112" s="119" t="str">
        <f t="shared" si="29"/>
        <v/>
      </c>
      <c r="Q112" s="113" t="str">
        <f t="shared" si="30"/>
        <v/>
      </c>
      <c r="R112" s="84"/>
      <c r="S112" s="84"/>
      <c r="T112" s="84"/>
      <c r="U112" s="84"/>
      <c r="V112" s="84"/>
      <c r="W112" s="84"/>
      <c r="X112" s="84"/>
      <c r="Y112" s="84"/>
      <c r="Z112" s="84"/>
      <c r="AA112" s="84"/>
      <c r="AB112" s="84"/>
      <c r="AC112" s="84"/>
      <c r="AD112" s="84"/>
      <c r="AE112" s="84"/>
      <c r="AF112" s="84"/>
      <c r="AG112" s="84"/>
      <c r="AH112" s="84"/>
      <c r="AI112" s="84"/>
      <c r="AJ112" s="84"/>
      <c r="AK112" s="84"/>
      <c r="AL112" s="84"/>
      <c r="AM112" s="84"/>
      <c r="AN112" s="84"/>
      <c r="AO112" s="84"/>
      <c r="AP112" s="84"/>
      <c r="AQ112" s="84"/>
      <c r="AR112" s="84"/>
      <c r="AS112" s="84"/>
      <c r="AT112" s="84"/>
      <c r="AU112" s="84"/>
      <c r="AV112" s="84"/>
      <c r="AW112" s="84"/>
      <c r="AX112" s="84"/>
      <c r="AY112" s="84"/>
      <c r="AZ112" s="84"/>
      <c r="BA112" s="84"/>
      <c r="BB112" s="84"/>
      <c r="BC112" s="84"/>
      <c r="BD112" s="84"/>
      <c r="BE112" s="84"/>
      <c r="BF112" s="84"/>
      <c r="BG112" s="84"/>
      <c r="BH112" s="84"/>
      <c r="BI112" s="84"/>
      <c r="BJ112" s="84"/>
      <c r="BK112" s="84"/>
      <c r="BL112" s="84"/>
      <c r="BM112" s="84"/>
      <c r="BN112" s="84"/>
      <c r="BO112" s="84"/>
      <c r="BP112" s="84"/>
    </row>
    <row r="113" spans="1:68" ht="15.75" thickBot="1">
      <c r="A113" s="2"/>
      <c r="B113" s="24"/>
      <c r="C113" s="24"/>
      <c r="D113" s="72" t="str">
        <f t="shared" si="23"/>
        <v/>
      </c>
      <c r="E113" s="171" t="str">
        <f t="shared" si="31"/>
        <v/>
      </c>
      <c r="F113" s="109" t="str">
        <f t="shared" si="24"/>
        <v/>
      </c>
      <c r="G113" s="161" t="str">
        <f t="shared" si="25"/>
        <v/>
      </c>
      <c r="H113" s="166" t="str">
        <f t="shared" si="32"/>
        <v/>
      </c>
      <c r="I113" s="166" t="str">
        <f t="shared" si="26"/>
        <v/>
      </c>
      <c r="J113" s="34" t="str">
        <f t="shared" si="33"/>
        <v/>
      </c>
      <c r="K113" s="84"/>
      <c r="L113" s="120" t="str">
        <f t="shared" si="34"/>
        <v/>
      </c>
      <c r="M113" s="119" t="str">
        <f t="shared" si="27"/>
        <v/>
      </c>
      <c r="N113" s="167" t="str">
        <f t="shared" si="35"/>
        <v/>
      </c>
      <c r="O113" s="119" t="str">
        <f t="shared" si="28"/>
        <v/>
      </c>
      <c r="P113" s="119" t="str">
        <f t="shared" si="29"/>
        <v/>
      </c>
      <c r="Q113" s="113" t="str">
        <f t="shared" si="30"/>
        <v/>
      </c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  <c r="AL113" s="84"/>
      <c r="AM113" s="84"/>
      <c r="AN113" s="84"/>
      <c r="AO113" s="84"/>
      <c r="AP113" s="84"/>
      <c r="AQ113" s="84"/>
      <c r="AR113" s="84"/>
      <c r="AS113" s="84"/>
      <c r="AT113" s="84"/>
      <c r="AU113" s="84"/>
      <c r="AV113" s="84"/>
      <c r="AW113" s="84"/>
      <c r="AX113" s="84"/>
      <c r="AY113" s="84"/>
      <c r="AZ113" s="84"/>
      <c r="BA113" s="84"/>
      <c r="BB113" s="84"/>
      <c r="BC113" s="84"/>
      <c r="BD113" s="84"/>
      <c r="BE113" s="84"/>
      <c r="BF113" s="84"/>
      <c r="BG113" s="84"/>
      <c r="BH113" s="84"/>
      <c r="BI113" s="84"/>
      <c r="BJ113" s="84"/>
      <c r="BK113" s="84"/>
      <c r="BL113" s="84"/>
      <c r="BM113" s="84"/>
      <c r="BN113" s="84"/>
      <c r="BO113" s="84"/>
      <c r="BP113" s="84"/>
    </row>
    <row r="114" spans="1:68" ht="15.75" thickBot="1">
      <c r="A114" s="2"/>
      <c r="B114" s="24"/>
      <c r="C114" s="24"/>
      <c r="D114" s="72" t="str">
        <f t="shared" si="23"/>
        <v/>
      </c>
      <c r="E114" s="171" t="str">
        <f t="shared" si="31"/>
        <v/>
      </c>
      <c r="F114" s="109" t="str">
        <f t="shared" si="24"/>
        <v/>
      </c>
      <c r="G114" s="161" t="str">
        <f t="shared" si="25"/>
        <v/>
      </c>
      <c r="H114" s="166" t="str">
        <f t="shared" si="32"/>
        <v/>
      </c>
      <c r="I114" s="166" t="str">
        <f t="shared" si="26"/>
        <v/>
      </c>
      <c r="J114" s="34" t="str">
        <f t="shared" si="33"/>
        <v/>
      </c>
      <c r="K114" s="84"/>
      <c r="L114" s="120" t="str">
        <f t="shared" si="34"/>
        <v/>
      </c>
      <c r="M114" s="119" t="str">
        <f t="shared" si="27"/>
        <v/>
      </c>
      <c r="N114" s="167" t="str">
        <f t="shared" si="35"/>
        <v/>
      </c>
      <c r="O114" s="119" t="str">
        <f t="shared" si="28"/>
        <v/>
      </c>
      <c r="P114" s="119" t="str">
        <f t="shared" si="29"/>
        <v/>
      </c>
      <c r="Q114" s="113" t="str">
        <f t="shared" si="30"/>
        <v/>
      </c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  <c r="AL114" s="84"/>
      <c r="AM114" s="84"/>
      <c r="AN114" s="84"/>
      <c r="AO114" s="84"/>
      <c r="AP114" s="84"/>
      <c r="AQ114" s="84"/>
      <c r="AR114" s="84"/>
      <c r="AS114" s="84"/>
      <c r="AT114" s="84"/>
      <c r="AU114" s="84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  <c r="BN114" s="84"/>
      <c r="BO114" s="84"/>
      <c r="BP114" s="84"/>
    </row>
    <row r="115" spans="1:68" ht="15.75" thickBot="1">
      <c r="A115" s="2"/>
      <c r="B115" s="24"/>
      <c r="C115" s="24"/>
      <c r="D115" s="72" t="str">
        <f t="shared" si="23"/>
        <v/>
      </c>
      <c r="E115" s="171" t="str">
        <f t="shared" si="31"/>
        <v/>
      </c>
      <c r="F115" s="109" t="str">
        <f t="shared" si="24"/>
        <v/>
      </c>
      <c r="G115" s="161" t="str">
        <f t="shared" si="25"/>
        <v/>
      </c>
      <c r="H115" s="166" t="str">
        <f t="shared" si="32"/>
        <v/>
      </c>
      <c r="I115" s="166" t="str">
        <f t="shared" si="26"/>
        <v/>
      </c>
      <c r="J115" s="34" t="str">
        <f t="shared" si="33"/>
        <v/>
      </c>
      <c r="K115" s="84"/>
      <c r="L115" s="120" t="str">
        <f t="shared" si="34"/>
        <v/>
      </c>
      <c r="M115" s="119" t="str">
        <f t="shared" si="27"/>
        <v/>
      </c>
      <c r="N115" s="167" t="str">
        <f t="shared" si="35"/>
        <v/>
      </c>
      <c r="O115" s="119" t="str">
        <f t="shared" si="28"/>
        <v/>
      </c>
      <c r="P115" s="119" t="str">
        <f t="shared" si="29"/>
        <v/>
      </c>
      <c r="Q115" s="113" t="str">
        <f t="shared" si="30"/>
        <v/>
      </c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  <c r="AL115" s="84"/>
      <c r="AM115" s="84"/>
      <c r="AN115" s="84"/>
      <c r="AO115" s="84"/>
      <c r="AP115" s="84"/>
      <c r="AQ115" s="84"/>
      <c r="AR115" s="84"/>
      <c r="AS115" s="84"/>
      <c r="AT115" s="84"/>
      <c r="AU115" s="84"/>
      <c r="AV115" s="84"/>
      <c r="AW115" s="84"/>
      <c r="AX115" s="84"/>
      <c r="AY115" s="84"/>
      <c r="AZ115" s="84"/>
      <c r="BA115" s="84"/>
      <c r="BB115" s="84"/>
      <c r="BC115" s="84"/>
      <c r="BD115" s="84"/>
      <c r="BE115" s="84"/>
      <c r="BF115" s="84"/>
      <c r="BG115" s="84"/>
      <c r="BH115" s="84"/>
      <c r="BI115" s="84"/>
      <c r="BJ115" s="84"/>
      <c r="BK115" s="84"/>
      <c r="BL115" s="84"/>
      <c r="BM115" s="84"/>
      <c r="BN115" s="84"/>
      <c r="BO115" s="84"/>
      <c r="BP115" s="84"/>
    </row>
    <row r="116" spans="1:68" ht="15.75" thickBot="1">
      <c r="A116" s="2"/>
      <c r="B116" s="24"/>
      <c r="C116" s="24"/>
      <c r="D116" s="72" t="str">
        <f t="shared" si="23"/>
        <v/>
      </c>
      <c r="E116" s="171" t="str">
        <f t="shared" si="31"/>
        <v/>
      </c>
      <c r="F116" s="109" t="str">
        <f t="shared" si="24"/>
        <v/>
      </c>
      <c r="G116" s="161" t="str">
        <f t="shared" si="25"/>
        <v/>
      </c>
      <c r="H116" s="166" t="str">
        <f t="shared" si="32"/>
        <v/>
      </c>
      <c r="I116" s="166" t="str">
        <f t="shared" si="26"/>
        <v/>
      </c>
      <c r="J116" s="34" t="str">
        <f t="shared" si="33"/>
        <v/>
      </c>
      <c r="K116" s="84"/>
      <c r="L116" s="120" t="str">
        <f t="shared" si="34"/>
        <v/>
      </c>
      <c r="M116" s="119" t="str">
        <f t="shared" si="27"/>
        <v/>
      </c>
      <c r="N116" s="167" t="str">
        <f t="shared" si="35"/>
        <v/>
      </c>
      <c r="O116" s="119" t="str">
        <f t="shared" si="28"/>
        <v/>
      </c>
      <c r="P116" s="119" t="str">
        <f t="shared" si="29"/>
        <v/>
      </c>
      <c r="Q116" s="113" t="str">
        <f t="shared" si="30"/>
        <v/>
      </c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  <c r="AL116" s="84"/>
      <c r="AM116" s="84"/>
      <c r="AN116" s="84"/>
      <c r="AO116" s="84"/>
      <c r="AP116" s="84"/>
      <c r="AQ116" s="84"/>
      <c r="AR116" s="84"/>
      <c r="AS116" s="84"/>
      <c r="AT116" s="84"/>
      <c r="AU116" s="84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  <c r="BN116" s="84"/>
      <c r="BO116" s="84"/>
      <c r="BP116" s="84"/>
    </row>
    <row r="117" spans="1:68">
      <c r="A117" s="84"/>
      <c r="B117" s="84"/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84"/>
      <c r="AD117" s="84"/>
      <c r="AE117" s="84"/>
      <c r="AF117" s="84"/>
      <c r="AG117" s="84"/>
      <c r="AH117" s="84"/>
      <c r="AI117" s="84"/>
      <c r="AJ117" s="84"/>
      <c r="AK117" s="84"/>
      <c r="AL117" s="84"/>
      <c r="AM117" s="84"/>
      <c r="AN117" s="84"/>
      <c r="AO117" s="84"/>
      <c r="AP117" s="84"/>
      <c r="AQ117" s="84"/>
      <c r="AR117" s="84"/>
      <c r="AS117" s="84"/>
      <c r="AT117" s="84"/>
      <c r="AU117" s="84"/>
      <c r="AV117" s="84"/>
      <c r="AW117" s="84"/>
      <c r="AX117" s="84"/>
      <c r="AY117" s="84"/>
      <c r="AZ117" s="84"/>
      <c r="BA117" s="84"/>
      <c r="BB117" s="84"/>
      <c r="BC117" s="84"/>
      <c r="BD117" s="84"/>
      <c r="BE117" s="84"/>
      <c r="BF117" s="84"/>
      <c r="BG117" s="84"/>
      <c r="BH117" s="84"/>
      <c r="BI117" s="84"/>
      <c r="BJ117" s="84"/>
      <c r="BK117" s="84"/>
      <c r="BL117" s="84"/>
      <c r="BM117" s="84"/>
      <c r="BN117" s="84"/>
      <c r="BO117" s="84"/>
      <c r="BP117" s="84"/>
    </row>
    <row r="118" spans="1:68">
      <c r="A118" s="84"/>
      <c r="B118" s="84"/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  <c r="BP118" s="84"/>
    </row>
    <row r="119" spans="1:68">
      <c r="A119" s="84"/>
      <c r="B119" s="84"/>
      <c r="C119" s="84"/>
      <c r="D119" s="84"/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  <c r="AL119" s="84"/>
      <c r="AM119" s="84"/>
      <c r="AN119" s="84"/>
      <c r="AO119" s="84"/>
      <c r="AP119" s="84"/>
      <c r="AQ119" s="84"/>
      <c r="AR119" s="84"/>
      <c r="AS119" s="84"/>
      <c r="AT119" s="84"/>
      <c r="AU119" s="84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  <c r="BN119" s="84"/>
      <c r="BO119" s="84"/>
      <c r="BP119" s="84"/>
    </row>
    <row r="120" spans="1:68">
      <c r="A120" s="84"/>
      <c r="B120" s="84"/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  <c r="AL120" s="84"/>
      <c r="AM120" s="84"/>
      <c r="AN120" s="84"/>
      <c r="AO120" s="84"/>
      <c r="AP120" s="84"/>
      <c r="AQ120" s="84"/>
      <c r="AR120" s="84"/>
      <c r="AS120" s="84"/>
      <c r="AT120" s="84"/>
      <c r="AU120" s="84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  <c r="BP120" s="84"/>
    </row>
    <row r="121" spans="1:68">
      <c r="A121" s="84"/>
      <c r="B121" s="84"/>
      <c r="C121" s="84"/>
      <c r="D121" s="84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  <c r="AL121" s="84"/>
      <c r="AM121" s="84"/>
      <c r="AN121" s="84"/>
      <c r="AO121" s="84"/>
      <c r="AP121" s="84"/>
      <c r="AQ121" s="84"/>
      <c r="AR121" s="84"/>
      <c r="AS121" s="84"/>
      <c r="AT121" s="84"/>
      <c r="AU121" s="84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  <c r="BN121" s="84"/>
      <c r="BO121" s="84"/>
      <c r="BP121" s="84"/>
    </row>
    <row r="122" spans="1:68">
      <c r="A122" s="84"/>
      <c r="B122" s="84"/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  <c r="W122" s="84"/>
      <c r="X122" s="84"/>
      <c r="Y122" s="84"/>
      <c r="Z122" s="84"/>
      <c r="AA122" s="84"/>
      <c r="AB122" s="84"/>
      <c r="AC122" s="84"/>
      <c r="AD122" s="84"/>
      <c r="AE122" s="84"/>
      <c r="AF122" s="84"/>
      <c r="AG122" s="84"/>
      <c r="AH122" s="84"/>
      <c r="AI122" s="84"/>
      <c r="AJ122" s="84"/>
      <c r="AK122" s="84"/>
      <c r="AL122" s="84"/>
      <c r="AM122" s="84"/>
      <c r="AN122" s="84"/>
      <c r="AO122" s="84"/>
      <c r="AP122" s="84"/>
      <c r="AQ122" s="84"/>
      <c r="AR122" s="84"/>
      <c r="AS122" s="84"/>
      <c r="AT122" s="84"/>
      <c r="AU122" s="84"/>
      <c r="AV122" s="84"/>
      <c r="AW122" s="84"/>
      <c r="AX122" s="84"/>
      <c r="AY122" s="84"/>
      <c r="AZ122" s="84"/>
      <c r="BA122" s="84"/>
      <c r="BB122" s="84"/>
      <c r="BC122" s="84"/>
      <c r="BD122" s="84"/>
      <c r="BE122" s="84"/>
      <c r="BF122" s="84"/>
      <c r="BG122" s="84"/>
      <c r="BH122" s="84"/>
      <c r="BI122" s="84"/>
      <c r="BJ122" s="84"/>
      <c r="BK122" s="84"/>
      <c r="BL122" s="84"/>
      <c r="BM122" s="84"/>
      <c r="BN122" s="84"/>
      <c r="BO122" s="84"/>
      <c r="BP122" s="84"/>
    </row>
    <row r="123" spans="1:68">
      <c r="A123" s="84"/>
      <c r="B123" s="84"/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  <c r="AH123" s="84"/>
      <c r="AI123" s="84"/>
      <c r="AJ123" s="84"/>
      <c r="AK123" s="84"/>
      <c r="AL123" s="84"/>
      <c r="AM123" s="84"/>
      <c r="AN123" s="84"/>
      <c r="AO123" s="84"/>
      <c r="AP123" s="84"/>
      <c r="AQ123" s="84"/>
      <c r="AR123" s="84"/>
      <c r="AS123" s="84"/>
      <c r="AT123" s="84"/>
      <c r="AU123" s="84"/>
      <c r="AV123" s="84"/>
      <c r="AW123" s="84"/>
      <c r="AX123" s="84"/>
      <c r="AY123" s="84"/>
      <c r="AZ123" s="84"/>
      <c r="BA123" s="84"/>
      <c r="BB123" s="84"/>
      <c r="BC123" s="84"/>
      <c r="BD123" s="84"/>
      <c r="BE123" s="84"/>
      <c r="BF123" s="84"/>
      <c r="BG123" s="84"/>
      <c r="BH123" s="84"/>
      <c r="BI123" s="84"/>
      <c r="BJ123" s="84"/>
      <c r="BK123" s="84"/>
      <c r="BL123" s="84"/>
      <c r="BM123" s="84"/>
      <c r="BN123" s="84"/>
      <c r="BO123" s="84"/>
      <c r="BP123" s="84"/>
    </row>
    <row r="124" spans="1:68">
      <c r="A124" s="84"/>
      <c r="B124" s="84"/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  <c r="AL124" s="84"/>
      <c r="AM124" s="84"/>
      <c r="AN124" s="84"/>
      <c r="AO124" s="84"/>
      <c r="AP124" s="84"/>
      <c r="AQ124" s="84"/>
      <c r="AR124" s="84"/>
      <c r="AS124" s="84"/>
      <c r="AT124" s="84"/>
      <c r="AU124" s="84"/>
      <c r="AV124" s="84"/>
      <c r="AW124" s="84"/>
      <c r="AX124" s="84"/>
      <c r="AY124" s="84"/>
      <c r="AZ124" s="84"/>
      <c r="BA124" s="84"/>
      <c r="BB124" s="84"/>
      <c r="BC124" s="84"/>
      <c r="BD124" s="84"/>
      <c r="BE124" s="84"/>
      <c r="BF124" s="84"/>
      <c r="BG124" s="84"/>
      <c r="BH124" s="84"/>
      <c r="BI124" s="84"/>
      <c r="BJ124" s="84"/>
      <c r="BK124" s="84"/>
      <c r="BL124" s="84"/>
      <c r="BM124" s="84"/>
      <c r="BN124" s="84"/>
      <c r="BO124" s="84"/>
      <c r="BP124" s="84"/>
    </row>
    <row r="125" spans="1:68">
      <c r="A125" s="84"/>
      <c r="B125" s="84"/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  <c r="AB125" s="84"/>
      <c r="AC125" s="84"/>
      <c r="AD125" s="84"/>
      <c r="AE125" s="84"/>
      <c r="AF125" s="84"/>
      <c r="AG125" s="84"/>
      <c r="AH125" s="84"/>
      <c r="AI125" s="84"/>
      <c r="AJ125" s="84"/>
      <c r="AK125" s="84"/>
      <c r="AL125" s="84"/>
      <c r="AM125" s="84"/>
      <c r="AN125" s="84"/>
      <c r="AO125" s="84"/>
      <c r="AP125" s="84"/>
      <c r="AQ125" s="84"/>
      <c r="AR125" s="84"/>
      <c r="AS125" s="84"/>
      <c r="AT125" s="84"/>
      <c r="AU125" s="84"/>
      <c r="AV125" s="84"/>
      <c r="AW125" s="84"/>
      <c r="AX125" s="84"/>
      <c r="AY125" s="84"/>
      <c r="AZ125" s="84"/>
      <c r="BA125" s="84"/>
      <c r="BB125" s="84"/>
      <c r="BC125" s="84"/>
      <c r="BD125" s="84"/>
      <c r="BE125" s="84"/>
      <c r="BF125" s="84"/>
      <c r="BG125" s="84"/>
      <c r="BH125" s="84"/>
      <c r="BI125" s="84"/>
      <c r="BJ125" s="84"/>
      <c r="BK125" s="84"/>
      <c r="BL125" s="84"/>
      <c r="BM125" s="84"/>
      <c r="BN125" s="84"/>
      <c r="BO125" s="84"/>
      <c r="BP125" s="84"/>
    </row>
    <row r="126" spans="1:68">
      <c r="A126" s="84"/>
      <c r="B126" s="84"/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  <c r="AL126" s="84"/>
      <c r="AM126" s="84"/>
      <c r="AN126" s="84"/>
      <c r="AO126" s="84"/>
      <c r="AP126" s="84"/>
      <c r="AQ126" s="84"/>
      <c r="AR126" s="84"/>
      <c r="AS126" s="84"/>
      <c r="AT126" s="84"/>
      <c r="AU126" s="84"/>
      <c r="AV126" s="84"/>
      <c r="AW126" s="84"/>
      <c r="AX126" s="84"/>
      <c r="AY126" s="84"/>
      <c r="AZ126" s="84"/>
      <c r="BA126" s="84"/>
      <c r="BB126" s="84"/>
      <c r="BC126" s="84"/>
      <c r="BD126" s="84"/>
      <c r="BE126" s="84"/>
      <c r="BF126" s="84"/>
      <c r="BG126" s="84"/>
      <c r="BH126" s="84"/>
      <c r="BI126" s="84"/>
      <c r="BJ126" s="84"/>
      <c r="BK126" s="84"/>
      <c r="BL126" s="84"/>
      <c r="BM126" s="84"/>
      <c r="BN126" s="84"/>
      <c r="BO126" s="84"/>
      <c r="BP126" s="84"/>
    </row>
    <row r="127" spans="1:68">
      <c r="A127" s="84"/>
      <c r="B127" s="84"/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  <c r="AL127" s="84"/>
      <c r="AM127" s="84"/>
      <c r="AN127" s="84"/>
      <c r="AO127" s="84"/>
      <c r="AP127" s="84"/>
      <c r="AQ127" s="84"/>
      <c r="AR127" s="84"/>
      <c r="AS127" s="84"/>
      <c r="AT127" s="84"/>
      <c r="AU127" s="84"/>
      <c r="AV127" s="84"/>
      <c r="AW127" s="84"/>
      <c r="AX127" s="84"/>
      <c r="AY127" s="84"/>
      <c r="AZ127" s="84"/>
      <c r="BA127" s="84"/>
      <c r="BB127" s="84"/>
      <c r="BC127" s="84"/>
      <c r="BD127" s="84"/>
      <c r="BE127" s="84"/>
      <c r="BF127" s="84"/>
      <c r="BG127" s="84"/>
      <c r="BH127" s="84"/>
      <c r="BI127" s="84"/>
      <c r="BJ127" s="84"/>
      <c r="BK127" s="84"/>
      <c r="BL127" s="84"/>
      <c r="BM127" s="84"/>
      <c r="BN127" s="84"/>
      <c r="BO127" s="84"/>
      <c r="BP127" s="84"/>
    </row>
    <row r="128" spans="1:68">
      <c r="A128" s="84"/>
      <c r="B128" s="84"/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  <c r="W128" s="84"/>
      <c r="X128" s="84"/>
      <c r="Y128" s="84"/>
      <c r="Z128" s="84"/>
      <c r="AA128" s="84"/>
      <c r="AB128" s="84"/>
      <c r="AC128" s="84"/>
      <c r="AD128" s="84"/>
      <c r="AE128" s="84"/>
      <c r="AF128" s="84"/>
      <c r="AG128" s="84"/>
      <c r="AH128" s="84"/>
      <c r="AI128" s="84"/>
      <c r="AJ128" s="84"/>
      <c r="AK128" s="84"/>
      <c r="AL128" s="84"/>
      <c r="AM128" s="84"/>
      <c r="AN128" s="84"/>
      <c r="AO128" s="84"/>
      <c r="AP128" s="84"/>
      <c r="AQ128" s="84"/>
      <c r="AR128" s="84"/>
      <c r="AS128" s="84"/>
      <c r="AT128" s="84"/>
      <c r="AU128" s="84"/>
      <c r="AV128" s="84"/>
      <c r="AW128" s="84"/>
      <c r="AX128" s="84"/>
      <c r="AY128" s="84"/>
      <c r="AZ128" s="84"/>
      <c r="BA128" s="84"/>
      <c r="BB128" s="84"/>
      <c r="BC128" s="84"/>
      <c r="BD128" s="84"/>
      <c r="BE128" s="84"/>
      <c r="BF128" s="84"/>
      <c r="BG128" s="84"/>
      <c r="BH128" s="84"/>
      <c r="BI128" s="84"/>
      <c r="BJ128" s="84"/>
      <c r="BK128" s="84"/>
      <c r="BL128" s="84"/>
      <c r="BM128" s="84"/>
      <c r="BN128" s="84"/>
      <c r="BO128" s="84"/>
      <c r="BP128" s="84"/>
    </row>
    <row r="129" spans="1:68">
      <c r="A129" s="84"/>
      <c r="B129" s="84"/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 s="84"/>
      <c r="AB129" s="84"/>
      <c r="AC129" s="84"/>
      <c r="AD129" s="84"/>
      <c r="AE129" s="84"/>
      <c r="AF129" s="84"/>
      <c r="AG129" s="84"/>
      <c r="AH129" s="84"/>
      <c r="AI129" s="84"/>
      <c r="AJ129" s="84"/>
      <c r="AK129" s="84"/>
      <c r="AL129" s="84"/>
      <c r="AM129" s="84"/>
      <c r="AN129" s="84"/>
      <c r="AO129" s="84"/>
      <c r="AP129" s="84"/>
      <c r="AQ129" s="84"/>
      <c r="AR129" s="84"/>
      <c r="AS129" s="84"/>
      <c r="AT129" s="84"/>
      <c r="AU129" s="84"/>
      <c r="AV129" s="84"/>
      <c r="AW129" s="84"/>
      <c r="AX129" s="84"/>
      <c r="AY129" s="84"/>
      <c r="AZ129" s="84"/>
      <c r="BA129" s="84"/>
      <c r="BB129" s="84"/>
      <c r="BC129" s="84"/>
      <c r="BD129" s="84"/>
      <c r="BE129" s="84"/>
      <c r="BF129" s="84"/>
      <c r="BG129" s="84"/>
      <c r="BH129" s="84"/>
      <c r="BI129" s="84"/>
      <c r="BJ129" s="84"/>
      <c r="BK129" s="84"/>
      <c r="BL129" s="84"/>
      <c r="BM129" s="84"/>
      <c r="BN129" s="84"/>
      <c r="BO129" s="84"/>
      <c r="BP129" s="84"/>
    </row>
    <row r="130" spans="1:68">
      <c r="A130" s="84"/>
      <c r="B130" s="84"/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  <c r="AL130" s="84"/>
      <c r="AM130" s="84"/>
      <c r="AN130" s="84"/>
      <c r="AO130" s="84"/>
      <c r="AP130" s="84"/>
      <c r="AQ130" s="84"/>
      <c r="AR130" s="84"/>
      <c r="AS130" s="84"/>
      <c r="AT130" s="84"/>
      <c r="AU130" s="84"/>
      <c r="AV130" s="84"/>
      <c r="AW130" s="84"/>
      <c r="AX130" s="84"/>
      <c r="AY130" s="84"/>
      <c r="AZ130" s="84"/>
      <c r="BA130" s="84"/>
      <c r="BB130" s="84"/>
      <c r="BC130" s="84"/>
      <c r="BD130" s="84"/>
      <c r="BE130" s="84"/>
      <c r="BF130" s="84"/>
      <c r="BG130" s="84"/>
      <c r="BH130" s="84"/>
      <c r="BI130" s="84"/>
      <c r="BJ130" s="84"/>
      <c r="BK130" s="84"/>
      <c r="BL130" s="84"/>
      <c r="BM130" s="84"/>
      <c r="BN130" s="84"/>
      <c r="BO130" s="84"/>
      <c r="BP130" s="84"/>
    </row>
    <row r="131" spans="1:68">
      <c r="A131" s="84"/>
      <c r="B131" s="84"/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  <c r="AL131" s="84"/>
      <c r="AM131" s="84"/>
      <c r="AN131" s="84"/>
      <c r="AO131" s="84"/>
      <c r="AP131" s="84"/>
      <c r="AQ131" s="84"/>
      <c r="AR131" s="84"/>
      <c r="AS131" s="84"/>
      <c r="AT131" s="84"/>
      <c r="AU131" s="84"/>
      <c r="AV131" s="84"/>
      <c r="AW131" s="84"/>
      <c r="AX131" s="84"/>
      <c r="AY131" s="84"/>
      <c r="AZ131" s="84"/>
      <c r="BA131" s="84"/>
      <c r="BB131" s="84"/>
      <c r="BC131" s="84"/>
      <c r="BD131" s="84"/>
      <c r="BE131" s="84"/>
      <c r="BF131" s="84"/>
      <c r="BG131" s="84"/>
      <c r="BH131" s="84"/>
      <c r="BI131" s="84"/>
      <c r="BJ131" s="84"/>
      <c r="BK131" s="84"/>
      <c r="BL131" s="84"/>
      <c r="BM131" s="84"/>
      <c r="BN131" s="84"/>
      <c r="BO131" s="84"/>
      <c r="BP131" s="84"/>
    </row>
    <row r="132" spans="1:68">
      <c r="A132" s="84"/>
      <c r="B132" s="84"/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  <c r="AL132" s="84"/>
      <c r="AM132" s="84"/>
      <c r="AN132" s="84"/>
      <c r="AO132" s="84"/>
      <c r="AP132" s="84"/>
      <c r="AQ132" s="84"/>
      <c r="AR132" s="84"/>
      <c r="AS132" s="84"/>
      <c r="AT132" s="84"/>
      <c r="AU132" s="84"/>
      <c r="AV132" s="84"/>
      <c r="AW132" s="84"/>
      <c r="AX132" s="84"/>
      <c r="AY132" s="84"/>
      <c r="AZ132" s="84"/>
      <c r="BA132" s="84"/>
      <c r="BB132" s="84"/>
      <c r="BC132" s="84"/>
      <c r="BD132" s="84"/>
      <c r="BE132" s="84"/>
      <c r="BF132" s="84"/>
      <c r="BG132" s="84"/>
      <c r="BH132" s="84"/>
      <c r="BI132" s="84"/>
      <c r="BJ132" s="84"/>
      <c r="BK132" s="84"/>
      <c r="BL132" s="84"/>
      <c r="BM132" s="84"/>
      <c r="BN132" s="84"/>
      <c r="BO132" s="84"/>
      <c r="BP132" s="84"/>
    </row>
    <row r="133" spans="1:68">
      <c r="A133" s="84"/>
      <c r="B133" s="84"/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  <c r="AL133" s="84"/>
      <c r="AM133" s="84"/>
      <c r="AN133" s="84"/>
      <c r="AO133" s="84"/>
      <c r="AP133" s="84"/>
      <c r="AQ133" s="84"/>
      <c r="AR133" s="84"/>
      <c r="AS133" s="84"/>
      <c r="AT133" s="84"/>
      <c r="AU133" s="84"/>
      <c r="AV133" s="84"/>
      <c r="AW133" s="84"/>
      <c r="AX133" s="84"/>
      <c r="AY133" s="84"/>
      <c r="AZ133" s="84"/>
      <c r="BA133" s="84"/>
      <c r="BB133" s="84"/>
      <c r="BC133" s="84"/>
      <c r="BD133" s="84"/>
      <c r="BE133" s="84"/>
      <c r="BF133" s="84"/>
      <c r="BG133" s="84"/>
      <c r="BH133" s="84"/>
      <c r="BI133" s="84"/>
      <c r="BJ133" s="84"/>
      <c r="BK133" s="84"/>
      <c r="BL133" s="84"/>
      <c r="BM133" s="84"/>
      <c r="BN133" s="84"/>
      <c r="BO133" s="84"/>
      <c r="BP133" s="84"/>
    </row>
    <row r="134" spans="1:68">
      <c r="A134" s="84"/>
      <c r="B134" s="84"/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  <c r="AA134" s="84"/>
      <c r="AB134" s="84"/>
      <c r="AC134" s="84"/>
      <c r="AD134" s="84"/>
      <c r="AE134" s="84"/>
      <c r="AF134" s="84"/>
      <c r="AG134" s="84"/>
      <c r="AH134" s="84"/>
      <c r="AI134" s="84"/>
      <c r="AJ134" s="84"/>
      <c r="AK134" s="84"/>
      <c r="AL134" s="84"/>
      <c r="AM134" s="84"/>
      <c r="AN134" s="84"/>
      <c r="AO134" s="84"/>
      <c r="AP134" s="84"/>
      <c r="AQ134" s="84"/>
      <c r="AR134" s="84"/>
      <c r="AS134" s="84"/>
      <c r="AT134" s="84"/>
      <c r="AU134" s="84"/>
      <c r="AV134" s="84"/>
      <c r="AW134" s="84"/>
      <c r="AX134" s="84"/>
      <c r="AY134" s="84"/>
      <c r="AZ134" s="84"/>
      <c r="BA134" s="84"/>
      <c r="BB134" s="84"/>
      <c r="BC134" s="84"/>
      <c r="BD134" s="84"/>
      <c r="BE134" s="84"/>
      <c r="BF134" s="84"/>
      <c r="BG134" s="84"/>
      <c r="BH134" s="84"/>
      <c r="BI134" s="84"/>
      <c r="BJ134" s="84"/>
      <c r="BK134" s="84"/>
      <c r="BL134" s="84"/>
      <c r="BM134" s="84"/>
      <c r="BN134" s="84"/>
      <c r="BO134" s="84"/>
      <c r="BP134" s="84"/>
    </row>
    <row r="135" spans="1:68">
      <c r="A135" s="84"/>
      <c r="B135" s="84"/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  <c r="AL135" s="84"/>
      <c r="AM135" s="84"/>
      <c r="AN135" s="84"/>
      <c r="AO135" s="84"/>
      <c r="AP135" s="84"/>
      <c r="AQ135" s="84"/>
      <c r="AR135" s="84"/>
      <c r="AS135" s="84"/>
      <c r="AT135" s="84"/>
      <c r="AU135" s="84"/>
      <c r="AV135" s="84"/>
      <c r="AW135" s="84"/>
      <c r="AX135" s="84"/>
      <c r="AY135" s="84"/>
      <c r="AZ135" s="84"/>
      <c r="BA135" s="84"/>
      <c r="BB135" s="84"/>
      <c r="BC135" s="84"/>
      <c r="BD135" s="84"/>
      <c r="BE135" s="84"/>
      <c r="BF135" s="84"/>
      <c r="BG135" s="84"/>
      <c r="BH135" s="84"/>
      <c r="BI135" s="84"/>
      <c r="BJ135" s="84"/>
      <c r="BK135" s="84"/>
      <c r="BL135" s="84"/>
      <c r="BM135" s="84"/>
      <c r="BN135" s="84"/>
      <c r="BO135" s="84"/>
      <c r="BP135" s="84"/>
    </row>
    <row r="136" spans="1:68">
      <c r="A136" s="84"/>
      <c r="B136" s="84"/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  <c r="AL136" s="84"/>
      <c r="AM136" s="84"/>
      <c r="AN136" s="84"/>
      <c r="AO136" s="84"/>
      <c r="AP136" s="84"/>
      <c r="AQ136" s="84"/>
      <c r="AR136" s="84"/>
      <c r="AS136" s="84"/>
      <c r="AT136" s="84"/>
      <c r="AU136" s="84"/>
      <c r="AV136" s="84"/>
      <c r="AW136" s="84"/>
      <c r="AX136" s="84"/>
      <c r="AY136" s="84"/>
      <c r="AZ136" s="84"/>
      <c r="BA136" s="84"/>
      <c r="BB136" s="84"/>
      <c r="BC136" s="84"/>
      <c r="BD136" s="84"/>
      <c r="BE136" s="84"/>
      <c r="BF136" s="84"/>
      <c r="BG136" s="84"/>
      <c r="BH136" s="84"/>
      <c r="BI136" s="84"/>
      <c r="BJ136" s="84"/>
      <c r="BK136" s="84"/>
      <c r="BL136" s="84"/>
      <c r="BM136" s="84"/>
      <c r="BN136" s="84"/>
      <c r="BO136" s="84"/>
      <c r="BP136" s="84"/>
    </row>
    <row r="137" spans="1:68">
      <c r="A137" s="84"/>
      <c r="B137" s="84"/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  <c r="AL137" s="84"/>
      <c r="AM137" s="84"/>
      <c r="AN137" s="84"/>
      <c r="AO137" s="84"/>
      <c r="AP137" s="84"/>
      <c r="AQ137" s="84"/>
      <c r="AR137" s="84"/>
      <c r="AS137" s="84"/>
      <c r="AT137" s="84"/>
      <c r="AU137" s="84"/>
      <c r="AV137" s="84"/>
      <c r="AW137" s="84"/>
      <c r="AX137" s="84"/>
      <c r="AY137" s="84"/>
      <c r="AZ137" s="84"/>
      <c r="BA137" s="84"/>
      <c r="BB137" s="84"/>
      <c r="BC137" s="84"/>
      <c r="BD137" s="84"/>
      <c r="BE137" s="84"/>
      <c r="BF137" s="84"/>
      <c r="BG137" s="84"/>
      <c r="BH137" s="84"/>
      <c r="BI137" s="84"/>
      <c r="BJ137" s="84"/>
      <c r="BK137" s="84"/>
      <c r="BL137" s="84"/>
      <c r="BM137" s="84"/>
      <c r="BN137" s="84"/>
      <c r="BO137" s="84"/>
      <c r="BP137" s="84"/>
    </row>
    <row r="138" spans="1:68">
      <c r="A138" s="84"/>
      <c r="B138" s="84"/>
      <c r="C138" s="84"/>
      <c r="D138" s="84"/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  <c r="AL138" s="84"/>
      <c r="AM138" s="84"/>
      <c r="AN138" s="84"/>
      <c r="AO138" s="84"/>
      <c r="AP138" s="84"/>
      <c r="AQ138" s="84"/>
      <c r="AR138" s="84"/>
      <c r="AS138" s="84"/>
      <c r="AT138" s="84"/>
      <c r="AU138" s="84"/>
      <c r="AV138" s="84"/>
      <c r="AW138" s="84"/>
      <c r="AX138" s="84"/>
      <c r="AY138" s="84"/>
      <c r="AZ138" s="84"/>
      <c r="BA138" s="84"/>
      <c r="BB138" s="84"/>
      <c r="BC138" s="84"/>
      <c r="BD138" s="84"/>
      <c r="BE138" s="84"/>
      <c r="BF138" s="84"/>
      <c r="BG138" s="84"/>
      <c r="BH138" s="84"/>
      <c r="BI138" s="84"/>
      <c r="BJ138" s="84"/>
      <c r="BK138" s="84"/>
      <c r="BL138" s="84"/>
      <c r="BM138" s="84"/>
      <c r="BN138" s="84"/>
      <c r="BO138" s="84"/>
      <c r="BP138" s="84"/>
    </row>
    <row r="139" spans="1:68">
      <c r="A139" s="84"/>
      <c r="B139" s="84"/>
      <c r="C139" s="84"/>
      <c r="D139" s="84"/>
      <c r="E139" s="84"/>
      <c r="F139" s="8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  <c r="W139" s="84"/>
      <c r="X139" s="84"/>
      <c r="Y139" s="84"/>
      <c r="Z139" s="84"/>
      <c r="AA139" s="84"/>
      <c r="AB139" s="84"/>
      <c r="AC139" s="84"/>
      <c r="AD139" s="84"/>
      <c r="AE139" s="84"/>
      <c r="AF139" s="84"/>
      <c r="AG139" s="84"/>
      <c r="AH139" s="84"/>
      <c r="AI139" s="84"/>
      <c r="AJ139" s="84"/>
      <c r="AK139" s="84"/>
      <c r="AL139" s="84"/>
      <c r="AM139" s="84"/>
      <c r="AN139" s="84"/>
      <c r="AO139" s="84"/>
      <c r="AP139" s="84"/>
      <c r="AQ139" s="84"/>
      <c r="AR139" s="84"/>
      <c r="AS139" s="84"/>
      <c r="AT139" s="84"/>
      <c r="AU139" s="84"/>
      <c r="AV139" s="84"/>
      <c r="AW139" s="84"/>
      <c r="AX139" s="84"/>
      <c r="AY139" s="84"/>
      <c r="AZ139" s="84"/>
      <c r="BA139" s="84"/>
      <c r="BB139" s="84"/>
      <c r="BC139" s="84"/>
      <c r="BD139" s="84"/>
      <c r="BE139" s="84"/>
      <c r="BF139" s="84"/>
      <c r="BG139" s="84"/>
      <c r="BH139" s="84"/>
      <c r="BI139" s="84"/>
      <c r="BJ139" s="84"/>
      <c r="BK139" s="84"/>
      <c r="BL139" s="84"/>
      <c r="BM139" s="84"/>
      <c r="BN139" s="84"/>
      <c r="BO139" s="84"/>
      <c r="BP139" s="84"/>
    </row>
    <row r="140" spans="1:68">
      <c r="A140" s="84"/>
      <c r="B140" s="84"/>
      <c r="C140" s="84"/>
      <c r="D140" s="84"/>
      <c r="E140" s="84"/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4"/>
      <c r="AA140" s="84"/>
      <c r="AB140" s="84"/>
      <c r="AC140" s="84"/>
      <c r="AD140" s="84"/>
      <c r="AE140" s="84"/>
      <c r="AF140" s="84"/>
      <c r="AG140" s="84"/>
      <c r="AH140" s="84"/>
      <c r="AI140" s="84"/>
      <c r="AJ140" s="84"/>
      <c r="AK140" s="84"/>
      <c r="AL140" s="84"/>
      <c r="AM140" s="84"/>
      <c r="AN140" s="84"/>
      <c r="AO140" s="84"/>
      <c r="AP140" s="84"/>
      <c r="AQ140" s="84"/>
      <c r="AR140" s="84"/>
      <c r="AS140" s="84"/>
      <c r="AT140" s="84"/>
      <c r="AU140" s="84"/>
      <c r="AV140" s="84"/>
      <c r="AW140" s="84"/>
      <c r="AX140" s="84"/>
      <c r="AY140" s="84"/>
      <c r="AZ140" s="84"/>
      <c r="BA140" s="84"/>
      <c r="BB140" s="84"/>
      <c r="BC140" s="84"/>
      <c r="BD140" s="84"/>
      <c r="BE140" s="84"/>
      <c r="BF140" s="84"/>
      <c r="BG140" s="84"/>
      <c r="BH140" s="84"/>
      <c r="BI140" s="84"/>
      <c r="BJ140" s="84"/>
      <c r="BK140" s="84"/>
      <c r="BL140" s="84"/>
      <c r="BM140" s="84"/>
      <c r="BN140" s="84"/>
      <c r="BO140" s="84"/>
      <c r="BP140" s="84"/>
    </row>
    <row r="141" spans="1:68">
      <c r="A141" s="84"/>
      <c r="B141" s="84"/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  <c r="AL141" s="84"/>
      <c r="AM141" s="84"/>
      <c r="AN141" s="84"/>
      <c r="AO141" s="84"/>
      <c r="AP141" s="84"/>
      <c r="AQ141" s="84"/>
      <c r="AR141" s="84"/>
      <c r="AS141" s="84"/>
      <c r="AT141" s="84"/>
      <c r="AU141" s="84"/>
      <c r="AV141" s="84"/>
      <c r="AW141" s="84"/>
      <c r="AX141" s="84"/>
      <c r="AY141" s="84"/>
      <c r="AZ141" s="84"/>
      <c r="BA141" s="84"/>
      <c r="BB141" s="84"/>
      <c r="BC141" s="84"/>
      <c r="BD141" s="84"/>
      <c r="BE141" s="84"/>
      <c r="BF141" s="84"/>
      <c r="BG141" s="84"/>
      <c r="BH141" s="84"/>
      <c r="BI141" s="84"/>
      <c r="BJ141" s="84"/>
      <c r="BK141" s="84"/>
      <c r="BL141" s="84"/>
      <c r="BM141" s="84"/>
      <c r="BN141" s="84"/>
      <c r="BO141" s="84"/>
      <c r="BP141" s="84"/>
    </row>
    <row r="142" spans="1:68">
      <c r="A142" s="84"/>
      <c r="B142" s="84"/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  <c r="W142" s="84"/>
      <c r="X142" s="84"/>
      <c r="Y142" s="84"/>
      <c r="Z142" s="84"/>
      <c r="AA142" s="84"/>
      <c r="AB142" s="84"/>
      <c r="AC142" s="84"/>
      <c r="AD142" s="84"/>
      <c r="AE142" s="84"/>
      <c r="AF142" s="84"/>
      <c r="AG142" s="84"/>
      <c r="AH142" s="84"/>
      <c r="AI142" s="84"/>
      <c r="AJ142" s="84"/>
      <c r="AK142" s="84"/>
      <c r="AL142" s="84"/>
      <c r="AM142" s="84"/>
      <c r="AN142" s="84"/>
      <c r="AO142" s="84"/>
      <c r="AP142" s="84"/>
      <c r="AQ142" s="84"/>
      <c r="AR142" s="84"/>
      <c r="AS142" s="84"/>
      <c r="AT142" s="84"/>
      <c r="AU142" s="84"/>
      <c r="AV142" s="84"/>
      <c r="AW142" s="84"/>
      <c r="AX142" s="84"/>
      <c r="AY142" s="84"/>
      <c r="AZ142" s="84"/>
      <c r="BA142" s="84"/>
      <c r="BB142" s="84"/>
      <c r="BC142" s="84"/>
      <c r="BD142" s="84"/>
      <c r="BE142" s="84"/>
      <c r="BF142" s="84"/>
      <c r="BG142" s="84"/>
      <c r="BH142" s="84"/>
      <c r="BI142" s="84"/>
      <c r="BJ142" s="84"/>
      <c r="BK142" s="84"/>
      <c r="BL142" s="84"/>
      <c r="BM142" s="84"/>
      <c r="BN142" s="84"/>
      <c r="BO142" s="84"/>
      <c r="BP142" s="84"/>
    </row>
    <row r="143" spans="1:68">
      <c r="A143" s="84"/>
      <c r="B143" s="84"/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  <c r="AA143" s="84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  <c r="AL143" s="84"/>
      <c r="AM143" s="84"/>
      <c r="AN143" s="84"/>
      <c r="AO143" s="84"/>
      <c r="AP143" s="84"/>
      <c r="AQ143" s="84"/>
      <c r="AR143" s="84"/>
      <c r="AS143" s="84"/>
      <c r="AT143" s="84"/>
      <c r="AU143" s="84"/>
      <c r="AV143" s="84"/>
      <c r="AW143" s="84"/>
      <c r="AX143" s="84"/>
      <c r="AY143" s="84"/>
      <c r="AZ143" s="84"/>
      <c r="BA143" s="84"/>
      <c r="BB143" s="84"/>
      <c r="BC143" s="84"/>
      <c r="BD143" s="84"/>
      <c r="BE143" s="84"/>
      <c r="BF143" s="84"/>
      <c r="BG143" s="84"/>
      <c r="BH143" s="84"/>
      <c r="BI143" s="84"/>
      <c r="BJ143" s="84"/>
      <c r="BK143" s="84"/>
      <c r="BL143" s="84"/>
      <c r="BM143" s="84"/>
      <c r="BN143" s="84"/>
      <c r="BO143" s="84"/>
      <c r="BP143" s="84"/>
    </row>
    <row r="144" spans="1:68">
      <c r="A144" s="84"/>
      <c r="B144" s="84"/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  <c r="AA144" s="84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  <c r="AL144" s="84"/>
      <c r="AM144" s="84"/>
      <c r="AN144" s="84"/>
      <c r="AO144" s="84"/>
      <c r="AP144" s="84"/>
      <c r="AQ144" s="84"/>
      <c r="AR144" s="84"/>
      <c r="AS144" s="84"/>
      <c r="AT144" s="84"/>
      <c r="AU144" s="84"/>
      <c r="AV144" s="84"/>
      <c r="AW144" s="84"/>
      <c r="AX144" s="84"/>
      <c r="AY144" s="84"/>
      <c r="AZ144" s="84"/>
      <c r="BA144" s="84"/>
      <c r="BB144" s="84"/>
      <c r="BC144" s="84"/>
      <c r="BD144" s="84"/>
      <c r="BE144" s="84"/>
      <c r="BF144" s="84"/>
      <c r="BG144" s="84"/>
      <c r="BH144" s="84"/>
      <c r="BI144" s="84"/>
      <c r="BJ144" s="84"/>
      <c r="BK144" s="84"/>
      <c r="BL144" s="84"/>
      <c r="BM144" s="84"/>
      <c r="BN144" s="84"/>
      <c r="BO144" s="84"/>
      <c r="BP144" s="84"/>
    </row>
    <row r="145" spans="1:68">
      <c r="A145" s="84"/>
      <c r="B145" s="84"/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  <c r="AA145" s="84"/>
      <c r="AB145" s="84"/>
      <c r="AC145" s="84"/>
      <c r="AD145" s="84"/>
      <c r="AE145" s="84"/>
      <c r="AF145" s="84"/>
      <c r="AG145" s="84"/>
      <c r="AH145" s="84"/>
      <c r="AI145" s="84"/>
      <c r="AJ145" s="84"/>
      <c r="AK145" s="84"/>
      <c r="AL145" s="84"/>
      <c r="AM145" s="84"/>
      <c r="AN145" s="84"/>
      <c r="AO145" s="84"/>
      <c r="AP145" s="84"/>
      <c r="AQ145" s="84"/>
      <c r="AR145" s="84"/>
      <c r="AS145" s="84"/>
      <c r="AT145" s="84"/>
      <c r="AU145" s="84"/>
      <c r="AV145" s="84"/>
      <c r="AW145" s="84"/>
      <c r="AX145" s="84"/>
      <c r="AY145" s="84"/>
      <c r="AZ145" s="84"/>
      <c r="BA145" s="84"/>
      <c r="BB145" s="84"/>
      <c r="BC145" s="84"/>
      <c r="BD145" s="84"/>
      <c r="BE145" s="84"/>
      <c r="BF145" s="84"/>
      <c r="BG145" s="84"/>
      <c r="BH145" s="84"/>
      <c r="BI145" s="84"/>
      <c r="BJ145" s="84"/>
      <c r="BK145" s="84"/>
      <c r="BL145" s="84"/>
      <c r="BM145" s="84"/>
      <c r="BN145" s="84"/>
      <c r="BO145" s="84"/>
      <c r="BP145" s="84"/>
    </row>
    <row r="146" spans="1:68">
      <c r="A146" s="84"/>
      <c r="B146" s="84"/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  <c r="AA146" s="84"/>
      <c r="AB146" s="84"/>
      <c r="AC146" s="84"/>
      <c r="AD146" s="84"/>
      <c r="AE146" s="84"/>
      <c r="AF146" s="84"/>
      <c r="AG146" s="84"/>
      <c r="AH146" s="84"/>
      <c r="AI146" s="84"/>
      <c r="AJ146" s="84"/>
      <c r="AK146" s="84"/>
      <c r="AL146" s="84"/>
      <c r="AM146" s="84"/>
      <c r="AN146" s="84"/>
      <c r="AO146" s="84"/>
      <c r="AP146" s="84"/>
      <c r="AQ146" s="84"/>
      <c r="AR146" s="84"/>
      <c r="AS146" s="84"/>
      <c r="AT146" s="84"/>
      <c r="AU146" s="84"/>
      <c r="AV146" s="84"/>
      <c r="AW146" s="84"/>
      <c r="AX146" s="84"/>
      <c r="AY146" s="84"/>
      <c r="AZ146" s="84"/>
      <c r="BA146" s="84"/>
      <c r="BB146" s="84"/>
      <c r="BC146" s="84"/>
      <c r="BD146" s="84"/>
      <c r="BE146" s="84"/>
      <c r="BF146" s="84"/>
      <c r="BG146" s="84"/>
      <c r="BH146" s="84"/>
      <c r="BI146" s="84"/>
      <c r="BJ146" s="84"/>
      <c r="BK146" s="84"/>
      <c r="BL146" s="84"/>
      <c r="BM146" s="84"/>
      <c r="BN146" s="84"/>
      <c r="BO146" s="84"/>
      <c r="BP146" s="84"/>
    </row>
    <row r="147" spans="1:68">
      <c r="A147" s="84"/>
      <c r="B147" s="84"/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  <c r="AA147" s="84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  <c r="AL147" s="84"/>
      <c r="AM147" s="84"/>
      <c r="AN147" s="84"/>
      <c r="AO147" s="84"/>
      <c r="AP147" s="84"/>
      <c r="AQ147" s="84"/>
      <c r="AR147" s="84"/>
      <c r="AS147" s="84"/>
      <c r="AT147" s="84"/>
      <c r="AU147" s="84"/>
      <c r="AV147" s="84"/>
      <c r="AW147" s="84"/>
      <c r="AX147" s="84"/>
      <c r="AY147" s="84"/>
      <c r="AZ147" s="84"/>
      <c r="BA147" s="84"/>
      <c r="BB147" s="84"/>
      <c r="BC147" s="84"/>
      <c r="BD147" s="84"/>
      <c r="BE147" s="84"/>
      <c r="BF147" s="84"/>
      <c r="BG147" s="84"/>
      <c r="BH147" s="84"/>
      <c r="BI147" s="84"/>
      <c r="BJ147" s="84"/>
      <c r="BK147" s="84"/>
      <c r="BL147" s="84"/>
      <c r="BM147" s="84"/>
      <c r="BN147" s="84"/>
      <c r="BO147" s="84"/>
      <c r="BP147" s="84"/>
    </row>
  </sheetData>
  <mergeCells count="12">
    <mergeCell ref="AA8:AB8"/>
    <mergeCell ref="AD8:AE8"/>
    <mergeCell ref="L2:M2"/>
    <mergeCell ref="L3:M3"/>
    <mergeCell ref="V3:AC3"/>
    <mergeCell ref="S6:Y6"/>
    <mergeCell ref="Z6:AF6"/>
    <mergeCell ref="E7:J7"/>
    <mergeCell ref="B7:D7"/>
    <mergeCell ref="L7:Q7"/>
    <mergeCell ref="T8:U8"/>
    <mergeCell ref="W8:X8"/>
  </mergeCells>
  <conditionalFormatting sqref="D9:D116">
    <cfRule type="expression" dxfId="10" priority="1">
      <formula>D9&gt;H9</formula>
    </cfRule>
  </conditionalFormatting>
  <conditionalFormatting sqref="G9:G116">
    <cfRule type="expression" dxfId="9" priority="2">
      <formula>G9&lt;J9</formula>
    </cfRule>
    <cfRule type="expression" dxfId="8" priority="3">
      <formula>G9&gt;H9</formula>
    </cfRule>
  </conditionalFormatting>
  <hyperlinks>
    <hyperlink ref="B2" location="INICIO!A1" display="INICIO" xr:uid="{00000000-0004-0000-0700-000000000000}"/>
    <hyperlink ref="AI2" location="INICIO!A1" display="INICIO" xr:uid="{00000000-0004-0000-0700-000001000000}"/>
    <hyperlink ref="B4" location="'GRÁFICO NP'!A1" display="SIGUIENTE" xr:uid="{00000000-0004-0000-0700-000002000000}"/>
    <hyperlink ref="B5" location="RESULTADOSPN" display="RESULTADOS" xr:uid="{00000000-0004-0000-0700-000003000000}"/>
    <hyperlink ref="B3" location="'GRÁFICO P'!A1" display="ATRÁS" xr:uid="{00000000-0004-0000-0700-000004000000}"/>
    <hyperlink ref="AI4" location="'GRÁFICO NP'!A1" display="SIGUIENTE" xr:uid="{00000000-0004-0000-0700-000005000000}"/>
    <hyperlink ref="AI3" location="'GRÁFICO P'!A1" display="ATRÁS" xr:uid="{00000000-0004-0000-0700-000006000000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6699FF"/>
  </sheetPr>
  <dimension ref="A1:BO147"/>
  <sheetViews>
    <sheetView topLeftCell="B1" zoomScale="91" zoomScaleNormal="91" workbookViewId="0">
      <selection activeCell="G28" sqref="G28"/>
    </sheetView>
  </sheetViews>
  <sheetFormatPr baseColWidth="10" defaultRowHeight="15"/>
  <cols>
    <col min="2" max="2" width="18.7109375" customWidth="1"/>
    <col min="3" max="3" width="23.5703125" bestFit="1" customWidth="1"/>
    <col min="5" max="5" width="36.140625" bestFit="1" customWidth="1"/>
    <col min="12" max="12" width="26.85546875" customWidth="1"/>
    <col min="20" max="20" width="20.7109375" customWidth="1"/>
    <col min="22" max="22" width="16.28515625" customWidth="1"/>
    <col min="23" max="23" width="18.28515625" customWidth="1"/>
    <col min="26" max="26" width="15.28515625" customWidth="1"/>
    <col min="27" max="27" width="16.85546875" customWidth="1"/>
    <col min="30" max="30" width="17" customWidth="1"/>
    <col min="34" max="34" width="15.85546875" customWidth="1"/>
    <col min="2000" max="2000" width="2.7109375" customWidth="1"/>
  </cols>
  <sheetData>
    <row r="1" spans="1:67" ht="19.5" thickBot="1">
      <c r="A1" s="84"/>
      <c r="B1" s="48" t="s">
        <v>27</v>
      </c>
      <c r="C1" s="84"/>
      <c r="D1" s="84"/>
      <c r="E1" s="84"/>
      <c r="F1" s="84"/>
      <c r="G1" s="84"/>
      <c r="H1" s="84"/>
      <c r="I1" s="4"/>
      <c r="J1" s="107"/>
      <c r="K1" s="247" t="s">
        <v>64</v>
      </c>
      <c r="L1" s="248"/>
      <c r="M1" s="97">
        <f>AVERAGE(B8:B115)/M2</f>
        <v>2.2000000000000002E-2</v>
      </c>
      <c r="N1" s="58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43" t="s">
        <v>27</v>
      </c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</row>
    <row r="2" spans="1:67" ht="21.75" thickBot="1">
      <c r="A2" s="84"/>
      <c r="B2" s="104" t="s">
        <v>29</v>
      </c>
      <c r="C2" s="84"/>
      <c r="D2" s="84"/>
      <c r="E2" s="84"/>
      <c r="F2" s="84"/>
      <c r="G2" s="84"/>
      <c r="H2" s="84"/>
      <c r="I2" s="4"/>
      <c r="J2" s="107"/>
      <c r="K2" s="275" t="s">
        <v>65</v>
      </c>
      <c r="L2" s="275"/>
      <c r="M2" s="108">
        <f>AVERAGE(C8:C115)</f>
        <v>100</v>
      </c>
      <c r="N2" s="58"/>
      <c r="O2" s="84"/>
      <c r="P2" s="84"/>
      <c r="Q2" s="58"/>
      <c r="R2" s="58"/>
      <c r="S2" s="84"/>
      <c r="T2" s="58"/>
      <c r="U2" s="249" t="s">
        <v>30</v>
      </c>
      <c r="V2" s="250"/>
      <c r="W2" s="250"/>
      <c r="X2" s="250"/>
      <c r="Y2" s="250"/>
      <c r="Z2" s="250"/>
      <c r="AA2" s="250"/>
      <c r="AB2" s="251"/>
      <c r="AC2" s="84"/>
      <c r="AD2" s="84"/>
      <c r="AE2" s="84"/>
      <c r="AF2" s="84"/>
      <c r="AG2" s="84"/>
      <c r="AH2" s="104" t="s">
        <v>29</v>
      </c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4"/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</row>
    <row r="3" spans="1:67" ht="19.5" thickBot="1">
      <c r="A3" s="84"/>
      <c r="B3" s="133" t="s">
        <v>28</v>
      </c>
      <c r="C3" s="84"/>
      <c r="D3" s="107"/>
      <c r="E3" s="107"/>
      <c r="F3" s="107"/>
      <c r="G3" s="107"/>
      <c r="H3" s="107"/>
      <c r="I3" s="4"/>
      <c r="J3" s="107"/>
      <c r="K3" s="107"/>
      <c r="L3" s="84"/>
      <c r="M3" s="84"/>
      <c r="N3" s="58"/>
      <c r="O3" s="84"/>
      <c r="P3" s="84"/>
      <c r="Q3" s="84"/>
      <c r="R3" s="84"/>
      <c r="S3" s="84"/>
      <c r="T3" s="84"/>
      <c r="U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133" t="s">
        <v>28</v>
      </c>
      <c r="AI3" s="84"/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U3" s="84"/>
      <c r="AV3" s="84"/>
      <c r="AW3" s="84"/>
      <c r="AX3" s="84"/>
      <c r="AY3" s="84"/>
      <c r="AZ3" s="84"/>
      <c r="BA3" s="84"/>
      <c r="BB3" s="84"/>
      <c r="BC3" s="84"/>
      <c r="BD3" s="84"/>
      <c r="BE3" s="84"/>
      <c r="BF3" s="84"/>
      <c r="BG3" s="84"/>
      <c r="BH3" s="84"/>
      <c r="BI3" s="84"/>
      <c r="BJ3" s="84"/>
      <c r="BK3" s="84"/>
      <c r="BL3" s="84"/>
      <c r="BM3" s="84"/>
      <c r="BN3" s="84"/>
      <c r="BO3" s="84"/>
    </row>
    <row r="4" spans="1:67" ht="19.5" thickBot="1">
      <c r="A4" s="84"/>
      <c r="B4" s="129" t="s">
        <v>30</v>
      </c>
      <c r="C4" s="84"/>
      <c r="D4" s="107"/>
      <c r="E4" s="107"/>
      <c r="F4" s="107"/>
      <c r="G4" s="107"/>
      <c r="H4" s="107"/>
      <c r="I4" s="107"/>
      <c r="J4" s="107"/>
      <c r="K4" s="107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4"/>
      <c r="BK4" s="84"/>
      <c r="BL4" s="84"/>
      <c r="BM4" s="84"/>
      <c r="BN4" s="84"/>
      <c r="BO4" s="84"/>
    </row>
    <row r="5" spans="1:67" ht="15.75" thickBot="1">
      <c r="A5" s="84"/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252" t="s">
        <v>71</v>
      </c>
      <c r="S5" s="253"/>
      <c r="T5" s="253"/>
      <c r="U5" s="253"/>
      <c r="V5" s="253"/>
      <c r="W5" s="253"/>
      <c r="X5" s="254"/>
      <c r="Y5" s="255" t="s">
        <v>68</v>
      </c>
      <c r="Z5" s="256"/>
      <c r="AA5" s="256"/>
      <c r="AB5" s="256"/>
      <c r="AC5" s="256"/>
      <c r="AD5" s="256"/>
      <c r="AE5" s="257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84"/>
      <c r="AV5" s="84"/>
      <c r="AW5" s="84"/>
      <c r="AX5" s="84"/>
      <c r="AY5" s="84"/>
      <c r="AZ5" s="84"/>
      <c r="BA5" s="84"/>
      <c r="BB5" s="84"/>
      <c r="BC5" s="84"/>
      <c r="BD5" s="84"/>
      <c r="BE5" s="84"/>
      <c r="BF5" s="84"/>
      <c r="BG5" s="84"/>
      <c r="BH5" s="84"/>
      <c r="BI5" s="84"/>
      <c r="BJ5" s="84"/>
      <c r="BK5" s="84"/>
      <c r="BL5" s="84"/>
      <c r="BM5" s="84"/>
      <c r="BN5" s="84"/>
      <c r="BO5" s="84"/>
    </row>
    <row r="6" spans="1:67" ht="15.75" thickBot="1">
      <c r="A6" s="4"/>
      <c r="B6" s="245" t="s">
        <v>1</v>
      </c>
      <c r="C6" s="277"/>
      <c r="D6" s="276" t="s">
        <v>61</v>
      </c>
      <c r="E6" s="262"/>
      <c r="F6" s="262"/>
      <c r="G6" s="262"/>
      <c r="H6" s="262"/>
      <c r="I6" s="265"/>
      <c r="J6" s="84"/>
      <c r="K6" s="276" t="s">
        <v>69</v>
      </c>
      <c r="L6" s="262"/>
      <c r="M6" s="262"/>
      <c r="N6" s="262"/>
      <c r="O6" s="262"/>
      <c r="P6" s="265"/>
      <c r="Q6" s="84"/>
      <c r="R6" s="64"/>
      <c r="S6" s="4"/>
      <c r="T6" s="4"/>
      <c r="U6" s="4"/>
      <c r="V6" s="4"/>
      <c r="W6" s="4"/>
      <c r="X6" s="65"/>
      <c r="Y6" s="64"/>
      <c r="Z6" s="4"/>
      <c r="AA6" s="4"/>
      <c r="AB6" s="4"/>
      <c r="AC6" s="4"/>
      <c r="AD6" s="4"/>
      <c r="AE6" s="65"/>
      <c r="AF6" s="84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  <c r="AS6" s="84"/>
      <c r="AT6" s="84"/>
      <c r="AU6" s="84"/>
      <c r="AV6" s="84"/>
      <c r="AW6" s="84"/>
      <c r="AX6" s="84"/>
      <c r="AY6" s="84"/>
      <c r="AZ6" s="84"/>
      <c r="BA6" s="84"/>
      <c r="BB6" s="84"/>
      <c r="BC6" s="84"/>
      <c r="BD6" s="84"/>
      <c r="BE6" s="84"/>
      <c r="BF6" s="84"/>
      <c r="BG6" s="84"/>
      <c r="BH6" s="84"/>
      <c r="BI6" s="84"/>
      <c r="BJ6" s="84"/>
      <c r="BK6" s="84"/>
      <c r="BL6" s="84"/>
      <c r="BM6" s="84"/>
      <c r="BN6" s="84"/>
      <c r="BO6" s="84"/>
    </row>
    <row r="7" spans="1:67" ht="15.75" thickBot="1">
      <c r="A7" s="35" t="s">
        <v>0</v>
      </c>
      <c r="B7" s="83" t="s">
        <v>66</v>
      </c>
      <c r="C7" s="6" t="s">
        <v>59</v>
      </c>
      <c r="D7" s="95" t="s">
        <v>63</v>
      </c>
      <c r="E7" s="114" t="s">
        <v>70</v>
      </c>
      <c r="F7" s="114" t="s">
        <v>62</v>
      </c>
      <c r="G7" s="114" t="s">
        <v>5</v>
      </c>
      <c r="H7" s="114" t="s">
        <v>6</v>
      </c>
      <c r="I7" s="96" t="s">
        <v>6</v>
      </c>
      <c r="J7" s="84"/>
      <c r="K7" s="95" t="s">
        <v>63</v>
      </c>
      <c r="L7" s="116" t="s">
        <v>60</v>
      </c>
      <c r="M7" s="116" t="s">
        <v>62</v>
      </c>
      <c r="N7" s="116" t="s">
        <v>5</v>
      </c>
      <c r="O7" s="116" t="s">
        <v>6</v>
      </c>
      <c r="P7" s="111" t="s">
        <v>6</v>
      </c>
      <c r="Q7" s="84"/>
      <c r="R7" s="64"/>
      <c r="S7" s="245" t="s">
        <v>33</v>
      </c>
      <c r="T7" s="246"/>
      <c r="U7" s="4"/>
      <c r="V7" s="245" t="s">
        <v>36</v>
      </c>
      <c r="W7" s="246"/>
      <c r="X7" s="65"/>
      <c r="Y7" s="64"/>
      <c r="Z7" s="245" t="s">
        <v>33</v>
      </c>
      <c r="AA7" s="246"/>
      <c r="AB7" s="4"/>
      <c r="AC7" s="245" t="s">
        <v>36</v>
      </c>
      <c r="AD7" s="246"/>
      <c r="AE7" s="65"/>
      <c r="AF7" s="84"/>
      <c r="AG7" s="84"/>
      <c r="AH7" s="84"/>
      <c r="AI7" s="84"/>
      <c r="AJ7" s="84"/>
      <c r="AK7" s="84"/>
      <c r="AL7" s="84"/>
      <c r="AM7" s="84"/>
      <c r="AN7" s="84"/>
      <c r="AO7" s="84"/>
      <c r="AP7" s="84"/>
      <c r="AQ7" s="84"/>
      <c r="AR7" s="84"/>
      <c r="AS7" s="84"/>
      <c r="AT7" s="84"/>
      <c r="AU7" s="84"/>
      <c r="AV7" s="84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  <c r="BN7" s="84"/>
      <c r="BO7" s="84"/>
    </row>
    <row r="8" spans="1:67" ht="15.75" thickBot="1">
      <c r="A8" s="80">
        <v>1</v>
      </c>
      <c r="B8" s="105">
        <v>3</v>
      </c>
      <c r="C8" s="72">
        <v>100</v>
      </c>
      <c r="D8" s="123">
        <f t="shared" ref="D8:D39" si="0">IF(C8&gt;0,SQRT((F8*(1-F8/C8))),"")</f>
        <v>1.4668333238647124</v>
      </c>
      <c r="E8" s="132">
        <f>IF(C8&lt;&gt;0,B8,"")</f>
        <v>3</v>
      </c>
      <c r="F8" s="124">
        <f>IF(C8&gt;0,AVERAGE($B$8:$B$116),"")</f>
        <v>2.2000000000000002</v>
      </c>
      <c r="G8" s="115">
        <f t="shared" ref="G8:G39" si="1">IF(C8&gt;0,F8+D8*3,"")</f>
        <v>6.6004999715941377</v>
      </c>
      <c r="H8" s="115">
        <f>IF(I8&lt;0,0,I8)</f>
        <v>0</v>
      </c>
      <c r="I8" s="112">
        <f t="shared" ref="I8:I39" si="2">IF(C8&gt;0,F8-D8*3,"")</f>
        <v>-2.2004999715941373</v>
      </c>
      <c r="J8" s="84"/>
      <c r="K8" s="120">
        <f t="shared" ref="K8:K39" si="3">IF(C8&gt;0,SQRT((M8*(1-M8))/($M$2)),"")</f>
        <v>1.4668333238647123E-2</v>
      </c>
      <c r="L8" s="117">
        <f>IF(C8&gt;0,B8/C8,"")</f>
        <v>0.03</v>
      </c>
      <c r="M8" s="118">
        <f>IF(C8&gt;0,$M$1,"")</f>
        <v>2.2000000000000002E-2</v>
      </c>
      <c r="N8" s="119">
        <f t="shared" ref="N8:N39" si="4">IF(C8&gt;0,M8+K8*3,"")</f>
        <v>6.600499971594137E-2</v>
      </c>
      <c r="O8" s="119">
        <f>IF(P8&lt;0,0,P8)</f>
        <v>0</v>
      </c>
      <c r="P8" s="113">
        <f t="shared" ref="P8:P39" si="5">IF(C8&gt;0,M8-K8*3,"")</f>
        <v>-2.2004999715941369E-2</v>
      </c>
      <c r="Q8" s="84"/>
      <c r="R8" s="64"/>
      <c r="S8" s="63" t="s">
        <v>5</v>
      </c>
      <c r="T8" s="63">
        <f>COUNTIF($E$9:$E$116,"&gt;"&amp;$G$9)</f>
        <v>0</v>
      </c>
      <c r="U8" s="4"/>
      <c r="V8" s="63" t="s">
        <v>37</v>
      </c>
      <c r="W8" s="59">
        <f>COUNTIF($E$8:$E$116,"&gt;"&amp;$F$9)</f>
        <v>10</v>
      </c>
      <c r="X8" s="65"/>
      <c r="Y8" s="64"/>
      <c r="Z8" s="63" t="s">
        <v>5</v>
      </c>
      <c r="AA8" s="63">
        <f>COUNTIF($L$8:$L$116,"&gt;"&amp;$N$9)</f>
        <v>0</v>
      </c>
      <c r="AB8" s="4"/>
      <c r="AC8" s="63" t="s">
        <v>5</v>
      </c>
      <c r="AD8" s="61">
        <f>COUNTIF($L$8:$L$116,"&gt;"&amp;#REF!)</f>
        <v>0</v>
      </c>
      <c r="AE8" s="65"/>
      <c r="AF8" s="84"/>
      <c r="AG8" s="84"/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U8" s="84"/>
      <c r="AV8" s="84"/>
      <c r="AW8" s="84"/>
      <c r="AX8" s="84"/>
      <c r="AY8" s="84"/>
      <c r="AZ8" s="84"/>
      <c r="BA8" s="84"/>
      <c r="BB8" s="84"/>
      <c r="BC8" s="84"/>
      <c r="BD8" s="84"/>
      <c r="BE8" s="84"/>
      <c r="BF8" s="84"/>
      <c r="BG8" s="84"/>
      <c r="BH8" s="84"/>
      <c r="BI8" s="84"/>
      <c r="BJ8" s="84"/>
      <c r="BK8" s="84"/>
      <c r="BL8" s="84"/>
      <c r="BM8" s="84"/>
      <c r="BN8" s="84"/>
      <c r="BO8" s="84"/>
    </row>
    <row r="9" spans="1:67" ht="15.75" thickBot="1">
      <c r="A9" s="80">
        <v>2</v>
      </c>
      <c r="B9" s="105">
        <v>1</v>
      </c>
      <c r="C9" s="72">
        <v>100</v>
      </c>
      <c r="D9" s="123">
        <f t="shared" si="0"/>
        <v>1.4668333238647124</v>
      </c>
      <c r="E9" s="132">
        <f t="shared" ref="E9:E72" si="6">IF(C9&lt;&gt;0,B9,"")</f>
        <v>1</v>
      </c>
      <c r="F9" s="124">
        <f t="shared" ref="F9:F72" si="7">IF(C9&gt;0,AVERAGE($B$8:$B$116),"")</f>
        <v>2.2000000000000002</v>
      </c>
      <c r="G9" s="110">
        <f t="shared" si="1"/>
        <v>6.6004999715941377</v>
      </c>
      <c r="H9" s="110">
        <f t="shared" ref="H9:H72" si="8">IF(I9&lt;0,0,I9)</f>
        <v>0</v>
      </c>
      <c r="I9" s="32">
        <f t="shared" si="2"/>
        <v>-2.2004999715941373</v>
      </c>
      <c r="J9" s="84"/>
      <c r="K9" s="120">
        <f t="shared" si="3"/>
        <v>1.4668333238647123E-2</v>
      </c>
      <c r="L9" s="117">
        <f t="shared" ref="L9:L72" si="9">IF(C9&gt;0,B9/C9,"")</f>
        <v>0.01</v>
      </c>
      <c r="M9" s="118">
        <f t="shared" ref="M9:M72" si="10">IF(C9&gt;0,$M$1,"")</f>
        <v>2.2000000000000002E-2</v>
      </c>
      <c r="N9" s="119">
        <f t="shared" si="4"/>
        <v>6.600499971594137E-2</v>
      </c>
      <c r="O9" s="119">
        <f t="shared" ref="O9:O72" si="11">IF(P9&lt;0,0,P9)</f>
        <v>0</v>
      </c>
      <c r="P9" s="113">
        <f t="shared" si="5"/>
        <v>-2.2004999715941369E-2</v>
      </c>
      <c r="Q9" s="84"/>
      <c r="R9" s="64"/>
      <c r="S9" s="4"/>
      <c r="T9" s="4"/>
      <c r="U9" s="4"/>
      <c r="V9" s="63" t="s">
        <v>38</v>
      </c>
      <c r="W9" s="63">
        <f>COUNTIF($E$8:$E$116,"&lt;"&amp;$F$9)</f>
        <v>15</v>
      </c>
      <c r="X9" s="65"/>
      <c r="Y9" s="4"/>
      <c r="Z9" s="4"/>
      <c r="AA9" s="4"/>
      <c r="AB9" s="4"/>
      <c r="AC9" s="63" t="s">
        <v>6</v>
      </c>
      <c r="AD9" s="62">
        <f>COUNTIF($L$8:$L$116,"&lt;"&amp;#REF!)</f>
        <v>0</v>
      </c>
      <c r="AE9" s="65"/>
      <c r="AF9" s="84"/>
      <c r="AG9" s="84"/>
      <c r="AH9" s="84"/>
      <c r="AI9" s="84"/>
      <c r="AJ9" s="84"/>
      <c r="AK9" s="84"/>
      <c r="AL9" s="84"/>
      <c r="AM9" s="84"/>
      <c r="AN9" s="84"/>
      <c r="AO9" s="84"/>
      <c r="AP9" s="84"/>
      <c r="AQ9" s="84"/>
      <c r="AR9" s="84"/>
      <c r="AS9" s="84"/>
      <c r="AT9" s="84"/>
      <c r="AU9" s="84"/>
      <c r="AV9" s="84"/>
      <c r="AW9" s="84"/>
      <c r="AX9" s="84"/>
      <c r="AY9" s="84"/>
      <c r="AZ9" s="84"/>
      <c r="BA9" s="84"/>
      <c r="BB9" s="84"/>
      <c r="BC9" s="84"/>
      <c r="BD9" s="84"/>
      <c r="BE9" s="84"/>
      <c r="BF9" s="84"/>
      <c r="BG9" s="84"/>
      <c r="BH9" s="84"/>
      <c r="BI9" s="84"/>
      <c r="BJ9" s="84"/>
      <c r="BK9" s="84"/>
      <c r="BL9" s="84"/>
      <c r="BM9" s="84"/>
      <c r="BN9" s="84"/>
      <c r="BO9" s="84"/>
    </row>
    <row r="10" spans="1:67" ht="15.75" thickBot="1">
      <c r="A10" s="80">
        <v>3</v>
      </c>
      <c r="B10" s="105">
        <v>0</v>
      </c>
      <c r="C10" s="72">
        <v>100</v>
      </c>
      <c r="D10" s="123">
        <f t="shared" si="0"/>
        <v>1.4668333238647124</v>
      </c>
      <c r="E10" s="132">
        <f t="shared" si="6"/>
        <v>0</v>
      </c>
      <c r="F10" s="124">
        <f t="shared" si="7"/>
        <v>2.2000000000000002</v>
      </c>
      <c r="G10" s="110">
        <f t="shared" si="1"/>
        <v>6.6004999715941377</v>
      </c>
      <c r="H10" s="110">
        <f t="shared" si="8"/>
        <v>0</v>
      </c>
      <c r="I10" s="32">
        <f t="shared" si="2"/>
        <v>-2.2004999715941373</v>
      </c>
      <c r="J10" s="84"/>
      <c r="K10" s="120">
        <f t="shared" si="3"/>
        <v>1.4668333238647123E-2</v>
      </c>
      <c r="L10" s="117">
        <f t="shared" si="9"/>
        <v>0</v>
      </c>
      <c r="M10" s="118">
        <f t="shared" si="10"/>
        <v>2.2000000000000002E-2</v>
      </c>
      <c r="N10" s="119">
        <f t="shared" si="4"/>
        <v>6.600499971594137E-2</v>
      </c>
      <c r="O10" s="119">
        <f t="shared" si="11"/>
        <v>0</v>
      </c>
      <c r="P10" s="113">
        <f t="shared" si="5"/>
        <v>-2.2004999715941369E-2</v>
      </c>
      <c r="Q10" s="84"/>
      <c r="R10" s="64"/>
      <c r="S10" s="4"/>
      <c r="T10" s="4"/>
      <c r="U10" s="4"/>
      <c r="V10" s="4"/>
      <c r="W10" s="4"/>
      <c r="X10" s="65"/>
      <c r="Y10" s="64"/>
      <c r="Z10" s="4"/>
      <c r="AA10" s="4"/>
      <c r="AB10" s="4"/>
      <c r="AC10" s="4"/>
      <c r="AD10" s="4"/>
      <c r="AE10" s="65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</row>
    <row r="11" spans="1:67" ht="15.75" thickBot="1">
      <c r="A11" s="80">
        <v>4</v>
      </c>
      <c r="B11" s="105">
        <v>0</v>
      </c>
      <c r="C11" s="72">
        <v>100</v>
      </c>
      <c r="D11" s="123">
        <f t="shared" si="0"/>
        <v>1.4668333238647124</v>
      </c>
      <c r="E11" s="132">
        <f t="shared" si="6"/>
        <v>0</v>
      </c>
      <c r="F11" s="124">
        <f t="shared" si="7"/>
        <v>2.2000000000000002</v>
      </c>
      <c r="G11" s="110">
        <f t="shared" si="1"/>
        <v>6.6004999715941377</v>
      </c>
      <c r="H11" s="110">
        <f t="shared" si="8"/>
        <v>0</v>
      </c>
      <c r="I11" s="32">
        <f t="shared" si="2"/>
        <v>-2.2004999715941373</v>
      </c>
      <c r="J11" s="84"/>
      <c r="K11" s="120">
        <f t="shared" si="3"/>
        <v>1.4668333238647123E-2</v>
      </c>
      <c r="L11" s="117">
        <f t="shared" si="9"/>
        <v>0</v>
      </c>
      <c r="M11" s="118">
        <f t="shared" si="10"/>
        <v>2.2000000000000002E-2</v>
      </c>
      <c r="N11" s="119">
        <f t="shared" si="4"/>
        <v>6.600499971594137E-2</v>
      </c>
      <c r="O11" s="119">
        <f t="shared" si="11"/>
        <v>0</v>
      </c>
      <c r="P11" s="113">
        <f t="shared" si="5"/>
        <v>-2.2004999715941369E-2</v>
      </c>
      <c r="Q11" s="84"/>
      <c r="R11" s="64"/>
      <c r="S11" s="4"/>
      <c r="T11" s="4"/>
      <c r="U11" s="4"/>
      <c r="V11" s="88" t="s">
        <v>42</v>
      </c>
      <c r="W11" s="89">
        <f>SUM(W8:W9)</f>
        <v>25</v>
      </c>
      <c r="X11" s="65"/>
      <c r="Y11" s="64"/>
      <c r="Z11" s="4"/>
      <c r="AA11" s="4"/>
      <c r="AB11" s="4"/>
      <c r="AC11" s="88" t="s">
        <v>42</v>
      </c>
      <c r="AD11" s="89">
        <f>SUM(AD8:AD9)</f>
        <v>0</v>
      </c>
      <c r="AE11" s="65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</row>
    <row r="12" spans="1:67" ht="15.75" thickBot="1">
      <c r="A12" s="80">
        <v>5</v>
      </c>
      <c r="B12" s="105">
        <v>2</v>
      </c>
      <c r="C12" s="72">
        <v>100</v>
      </c>
      <c r="D12" s="123">
        <f t="shared" si="0"/>
        <v>1.4668333238647124</v>
      </c>
      <c r="E12" s="132">
        <f t="shared" si="6"/>
        <v>2</v>
      </c>
      <c r="F12" s="124">
        <f t="shared" si="7"/>
        <v>2.2000000000000002</v>
      </c>
      <c r="G12" s="110">
        <f t="shared" si="1"/>
        <v>6.6004999715941377</v>
      </c>
      <c r="H12" s="110">
        <f t="shared" si="8"/>
        <v>0</v>
      </c>
      <c r="I12" s="32">
        <f t="shared" si="2"/>
        <v>-2.2004999715941373</v>
      </c>
      <c r="J12" s="84"/>
      <c r="K12" s="120">
        <f t="shared" si="3"/>
        <v>1.4668333238647123E-2</v>
      </c>
      <c r="L12" s="117">
        <f t="shared" si="9"/>
        <v>0.02</v>
      </c>
      <c r="M12" s="118">
        <f t="shared" si="10"/>
        <v>2.2000000000000002E-2</v>
      </c>
      <c r="N12" s="119">
        <f t="shared" si="4"/>
        <v>6.600499971594137E-2</v>
      </c>
      <c r="O12" s="119">
        <f t="shared" si="11"/>
        <v>0</v>
      </c>
      <c r="P12" s="113">
        <f t="shared" si="5"/>
        <v>-2.2004999715941369E-2</v>
      </c>
      <c r="Q12" s="84"/>
      <c r="R12" s="64"/>
      <c r="S12" s="4"/>
      <c r="T12" s="4"/>
      <c r="U12" s="4"/>
      <c r="V12" s="4"/>
      <c r="W12" s="4"/>
      <c r="X12" s="65"/>
      <c r="Y12" s="64"/>
      <c r="Z12" s="4"/>
      <c r="AA12" s="4"/>
      <c r="AB12" s="4"/>
      <c r="AC12" s="4"/>
      <c r="AD12" s="4"/>
      <c r="AE12" s="65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84"/>
      <c r="AW12" s="84"/>
      <c r="AX12" s="84"/>
      <c r="AY12" s="84"/>
      <c r="AZ12" s="84"/>
      <c r="BA12" s="84"/>
      <c r="BB12" s="84"/>
      <c r="BC12" s="84"/>
      <c r="BD12" s="84"/>
      <c r="BE12" s="84"/>
      <c r="BF12" s="84"/>
      <c r="BG12" s="84"/>
      <c r="BH12" s="84"/>
      <c r="BI12" s="84"/>
      <c r="BJ12" s="84"/>
      <c r="BK12" s="84"/>
      <c r="BL12" s="84"/>
      <c r="BM12" s="84"/>
      <c r="BN12" s="84"/>
      <c r="BO12" s="84"/>
    </row>
    <row r="13" spans="1:67" ht="15.75" thickBot="1">
      <c r="A13" s="80">
        <v>6</v>
      </c>
      <c r="B13" s="105">
        <v>5</v>
      </c>
      <c r="C13" s="72">
        <v>100</v>
      </c>
      <c r="D13" s="123">
        <f t="shared" si="0"/>
        <v>1.4668333238647124</v>
      </c>
      <c r="E13" s="132">
        <f t="shared" si="6"/>
        <v>5</v>
      </c>
      <c r="F13" s="124">
        <f t="shared" si="7"/>
        <v>2.2000000000000002</v>
      </c>
      <c r="G13" s="110">
        <f t="shared" si="1"/>
        <v>6.6004999715941377</v>
      </c>
      <c r="H13" s="110">
        <f t="shared" si="8"/>
        <v>0</v>
      </c>
      <c r="I13" s="32">
        <f t="shared" si="2"/>
        <v>-2.2004999715941373</v>
      </c>
      <c r="J13" s="84"/>
      <c r="K13" s="120">
        <f t="shared" si="3"/>
        <v>1.4668333238647123E-2</v>
      </c>
      <c r="L13" s="117">
        <f t="shared" si="9"/>
        <v>0.05</v>
      </c>
      <c r="M13" s="118">
        <f t="shared" si="10"/>
        <v>2.2000000000000002E-2</v>
      </c>
      <c r="N13" s="119">
        <f t="shared" si="4"/>
        <v>6.600499971594137E-2</v>
      </c>
      <c r="O13" s="119">
        <f t="shared" si="11"/>
        <v>0</v>
      </c>
      <c r="P13" s="113">
        <f t="shared" si="5"/>
        <v>-2.2004999715941369E-2</v>
      </c>
      <c r="Q13" s="84"/>
      <c r="R13" s="64"/>
      <c r="S13" s="4"/>
      <c r="T13" s="4"/>
      <c r="U13" s="4"/>
      <c r="V13" s="4"/>
      <c r="W13" s="4"/>
      <c r="X13" s="65"/>
      <c r="Y13" s="64"/>
      <c r="Z13" s="4"/>
      <c r="AA13" s="4"/>
      <c r="AB13" s="4"/>
      <c r="AC13" s="4"/>
      <c r="AD13" s="4"/>
      <c r="AE13" s="65"/>
      <c r="AF13" s="84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</row>
    <row r="14" spans="1:67" ht="15.75" thickBot="1">
      <c r="A14" s="80">
        <v>7</v>
      </c>
      <c r="B14" s="105">
        <v>3</v>
      </c>
      <c r="C14" s="72">
        <v>100</v>
      </c>
      <c r="D14" s="123">
        <f t="shared" si="0"/>
        <v>1.4668333238647124</v>
      </c>
      <c r="E14" s="132">
        <f t="shared" si="6"/>
        <v>3</v>
      </c>
      <c r="F14" s="124">
        <f t="shared" si="7"/>
        <v>2.2000000000000002</v>
      </c>
      <c r="G14" s="110">
        <f t="shared" si="1"/>
        <v>6.6004999715941377</v>
      </c>
      <c r="H14" s="110">
        <f t="shared" si="8"/>
        <v>0</v>
      </c>
      <c r="I14" s="32">
        <f t="shared" si="2"/>
        <v>-2.2004999715941373</v>
      </c>
      <c r="J14" s="84"/>
      <c r="K14" s="120">
        <f t="shared" si="3"/>
        <v>1.4668333238647123E-2</v>
      </c>
      <c r="L14" s="117">
        <f t="shared" si="9"/>
        <v>0.03</v>
      </c>
      <c r="M14" s="118">
        <f t="shared" si="10"/>
        <v>2.2000000000000002E-2</v>
      </c>
      <c r="N14" s="119">
        <f t="shared" si="4"/>
        <v>6.600499971594137E-2</v>
      </c>
      <c r="O14" s="119">
        <f t="shared" si="11"/>
        <v>0</v>
      </c>
      <c r="P14" s="113">
        <f t="shared" si="5"/>
        <v>-2.2004999715941369E-2</v>
      </c>
      <c r="Q14" s="84"/>
      <c r="R14" s="64"/>
      <c r="S14" s="4"/>
      <c r="T14" s="4"/>
      <c r="U14" s="4"/>
      <c r="V14" s="4"/>
      <c r="W14" s="4"/>
      <c r="X14" s="65"/>
      <c r="Y14" s="64"/>
      <c r="Z14" s="4"/>
      <c r="AA14" s="4"/>
      <c r="AB14" s="4"/>
      <c r="AC14" s="4"/>
      <c r="AD14" s="4"/>
      <c r="AE14" s="65"/>
      <c r="AF14" s="84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84"/>
      <c r="AW14" s="84"/>
      <c r="AX14" s="84"/>
      <c r="AY14" s="84"/>
      <c r="AZ14" s="84"/>
      <c r="BA14" s="84"/>
      <c r="BB14" s="84"/>
      <c r="BC14" s="84"/>
      <c r="BD14" s="84"/>
      <c r="BE14" s="84"/>
      <c r="BF14" s="84"/>
      <c r="BG14" s="84"/>
      <c r="BH14" s="84"/>
      <c r="BI14" s="84"/>
      <c r="BJ14" s="84"/>
      <c r="BK14" s="84"/>
      <c r="BL14" s="84"/>
      <c r="BM14" s="84"/>
      <c r="BN14" s="84"/>
      <c r="BO14" s="84"/>
    </row>
    <row r="15" spans="1:67" ht="15.75" thickBot="1">
      <c r="A15" s="80">
        <v>8</v>
      </c>
      <c r="B15" s="105">
        <v>6</v>
      </c>
      <c r="C15" s="72">
        <v>100</v>
      </c>
      <c r="D15" s="123">
        <f t="shared" si="0"/>
        <v>1.4668333238647124</v>
      </c>
      <c r="E15" s="132">
        <f t="shared" si="6"/>
        <v>6</v>
      </c>
      <c r="F15" s="124">
        <f t="shared" si="7"/>
        <v>2.2000000000000002</v>
      </c>
      <c r="G15" s="110">
        <f t="shared" si="1"/>
        <v>6.6004999715941377</v>
      </c>
      <c r="H15" s="110">
        <f t="shared" si="8"/>
        <v>0</v>
      </c>
      <c r="I15" s="32">
        <f t="shared" si="2"/>
        <v>-2.2004999715941373</v>
      </c>
      <c r="J15" s="84"/>
      <c r="K15" s="120">
        <f t="shared" si="3"/>
        <v>1.4668333238647123E-2</v>
      </c>
      <c r="L15" s="117">
        <f t="shared" si="9"/>
        <v>0.06</v>
      </c>
      <c r="M15" s="118">
        <f t="shared" si="10"/>
        <v>2.2000000000000002E-2</v>
      </c>
      <c r="N15" s="119">
        <f t="shared" si="4"/>
        <v>6.600499971594137E-2</v>
      </c>
      <c r="O15" s="119">
        <f t="shared" si="11"/>
        <v>0</v>
      </c>
      <c r="P15" s="113">
        <f t="shared" si="5"/>
        <v>-2.2004999715941369E-2</v>
      </c>
      <c r="Q15" s="84"/>
      <c r="R15" s="64"/>
      <c r="S15" s="4"/>
      <c r="T15" s="4"/>
      <c r="U15" s="4"/>
      <c r="V15" s="4"/>
      <c r="W15" s="4"/>
      <c r="X15" s="65"/>
      <c r="Y15" s="64"/>
      <c r="Z15" s="4"/>
      <c r="AA15" s="4"/>
      <c r="AB15" s="4"/>
      <c r="AC15" s="4"/>
      <c r="AD15" s="4"/>
      <c r="AE15" s="65"/>
      <c r="AF15" s="84"/>
      <c r="AG15" s="84"/>
      <c r="AH15" s="84"/>
      <c r="AI15" s="84"/>
      <c r="AJ15" s="84"/>
      <c r="AK15" s="84"/>
      <c r="AL15" s="84"/>
      <c r="AM15" s="84"/>
      <c r="AN15" s="84"/>
      <c r="AO15" s="84"/>
      <c r="AP15" s="84"/>
      <c r="AQ15" s="84"/>
      <c r="AR15" s="84"/>
      <c r="AS15" s="84"/>
      <c r="AT15" s="84"/>
      <c r="AU15" s="84"/>
      <c r="AV15" s="84"/>
      <c r="AW15" s="84"/>
      <c r="AX15" s="84"/>
      <c r="AY15" s="84"/>
      <c r="AZ15" s="84"/>
      <c r="BA15" s="84"/>
      <c r="BB15" s="84"/>
      <c r="BC15" s="84"/>
      <c r="BD15" s="84"/>
      <c r="BE15" s="84"/>
      <c r="BF15" s="84"/>
      <c r="BG15" s="84"/>
      <c r="BH15" s="84"/>
      <c r="BI15" s="84"/>
      <c r="BJ15" s="84"/>
      <c r="BK15" s="84"/>
      <c r="BL15" s="84"/>
      <c r="BM15" s="84"/>
      <c r="BN15" s="84"/>
      <c r="BO15" s="84"/>
    </row>
    <row r="16" spans="1:67" ht="15.75" thickBot="1">
      <c r="A16" s="80">
        <v>9</v>
      </c>
      <c r="B16" s="105">
        <v>1</v>
      </c>
      <c r="C16" s="72">
        <v>100</v>
      </c>
      <c r="D16" s="123">
        <f t="shared" si="0"/>
        <v>1.4668333238647124</v>
      </c>
      <c r="E16" s="132">
        <f t="shared" si="6"/>
        <v>1</v>
      </c>
      <c r="F16" s="124">
        <f t="shared" si="7"/>
        <v>2.2000000000000002</v>
      </c>
      <c r="G16" s="110">
        <f t="shared" si="1"/>
        <v>6.6004999715941377</v>
      </c>
      <c r="H16" s="110">
        <f t="shared" si="8"/>
        <v>0</v>
      </c>
      <c r="I16" s="32">
        <f t="shared" si="2"/>
        <v>-2.2004999715941373</v>
      </c>
      <c r="J16" s="84"/>
      <c r="K16" s="120">
        <f t="shared" si="3"/>
        <v>1.4668333238647123E-2</v>
      </c>
      <c r="L16" s="117">
        <f t="shared" si="9"/>
        <v>0.01</v>
      </c>
      <c r="M16" s="118">
        <f t="shared" si="10"/>
        <v>2.2000000000000002E-2</v>
      </c>
      <c r="N16" s="119">
        <f t="shared" si="4"/>
        <v>6.600499971594137E-2</v>
      </c>
      <c r="O16" s="119">
        <f t="shared" si="11"/>
        <v>0</v>
      </c>
      <c r="P16" s="113">
        <f t="shared" si="5"/>
        <v>-2.2004999715941369E-2</v>
      </c>
      <c r="Q16" s="84"/>
      <c r="R16" s="64"/>
      <c r="S16" s="4"/>
      <c r="T16" s="4"/>
      <c r="U16" s="4"/>
      <c r="V16" s="4"/>
      <c r="W16" s="4"/>
      <c r="X16" s="65"/>
      <c r="Y16" s="64"/>
      <c r="Z16" s="4"/>
      <c r="AA16" s="4"/>
      <c r="AB16" s="4"/>
      <c r="AC16" s="4"/>
      <c r="AD16" s="4"/>
      <c r="AE16" s="65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84"/>
      <c r="BG16" s="84"/>
      <c r="BH16" s="84"/>
      <c r="BI16" s="84"/>
      <c r="BJ16" s="84"/>
      <c r="BK16" s="84"/>
      <c r="BL16" s="84"/>
      <c r="BM16" s="84"/>
      <c r="BN16" s="84"/>
      <c r="BO16" s="84"/>
    </row>
    <row r="17" spans="1:67" ht="15.75" thickBot="1">
      <c r="A17" s="80">
        <v>10</v>
      </c>
      <c r="B17" s="105">
        <v>4</v>
      </c>
      <c r="C17" s="72">
        <v>100</v>
      </c>
      <c r="D17" s="123">
        <f t="shared" si="0"/>
        <v>1.4668333238647124</v>
      </c>
      <c r="E17" s="132">
        <f t="shared" si="6"/>
        <v>4</v>
      </c>
      <c r="F17" s="124">
        <f t="shared" si="7"/>
        <v>2.2000000000000002</v>
      </c>
      <c r="G17" s="110">
        <f t="shared" si="1"/>
        <v>6.6004999715941377</v>
      </c>
      <c r="H17" s="110">
        <f t="shared" si="8"/>
        <v>0</v>
      </c>
      <c r="I17" s="32">
        <f t="shared" si="2"/>
        <v>-2.2004999715941373</v>
      </c>
      <c r="J17" s="84"/>
      <c r="K17" s="120">
        <f t="shared" si="3"/>
        <v>1.4668333238647123E-2</v>
      </c>
      <c r="L17" s="117">
        <f t="shared" si="9"/>
        <v>0.04</v>
      </c>
      <c r="M17" s="118">
        <f t="shared" si="10"/>
        <v>2.2000000000000002E-2</v>
      </c>
      <c r="N17" s="119">
        <f t="shared" si="4"/>
        <v>6.600499971594137E-2</v>
      </c>
      <c r="O17" s="119">
        <f t="shared" si="11"/>
        <v>0</v>
      </c>
      <c r="P17" s="113">
        <f t="shared" si="5"/>
        <v>-2.2004999715941369E-2</v>
      </c>
      <c r="Q17" s="84"/>
      <c r="R17" s="64"/>
      <c r="S17" s="4"/>
      <c r="T17" s="4"/>
      <c r="U17" s="4"/>
      <c r="V17" s="4"/>
      <c r="W17" s="4"/>
      <c r="X17" s="65"/>
      <c r="Y17" s="64"/>
      <c r="Z17" s="4"/>
      <c r="AA17" s="4"/>
      <c r="AB17" s="4"/>
      <c r="AC17" s="4"/>
      <c r="AD17" s="4"/>
      <c r="AE17" s="65"/>
      <c r="AF17" s="84"/>
      <c r="AG17" s="84"/>
      <c r="AH17" s="84"/>
      <c r="AI17" s="84"/>
      <c r="AJ17" s="84"/>
      <c r="AK17" s="84"/>
      <c r="AL17" s="84"/>
      <c r="AM17" s="84"/>
      <c r="AN17" s="84"/>
      <c r="AO17" s="84"/>
      <c r="AP17" s="84"/>
      <c r="AQ17" s="84"/>
      <c r="AR17" s="84"/>
      <c r="AS17" s="84"/>
      <c r="AT17" s="84"/>
      <c r="AU17" s="84"/>
      <c r="AV17" s="84"/>
      <c r="AW17" s="84"/>
      <c r="AX17" s="84"/>
      <c r="AY17" s="84"/>
      <c r="AZ17" s="84"/>
      <c r="BA17" s="84"/>
      <c r="BB17" s="84"/>
      <c r="BC17" s="84"/>
      <c r="BD17" s="84"/>
      <c r="BE17" s="84"/>
      <c r="BF17" s="84"/>
      <c r="BG17" s="84"/>
      <c r="BH17" s="84"/>
      <c r="BI17" s="84"/>
      <c r="BJ17" s="84"/>
      <c r="BK17" s="84"/>
      <c r="BL17" s="84"/>
      <c r="BM17" s="84"/>
      <c r="BN17" s="84"/>
      <c r="BO17" s="84"/>
    </row>
    <row r="18" spans="1:67" ht="15.75" thickBot="1">
      <c r="A18" s="80">
        <v>11</v>
      </c>
      <c r="B18" s="2">
        <v>0</v>
      </c>
      <c r="C18" s="72">
        <v>100</v>
      </c>
      <c r="D18" s="123">
        <f t="shared" si="0"/>
        <v>1.4668333238647124</v>
      </c>
      <c r="E18" s="132">
        <f t="shared" si="6"/>
        <v>0</v>
      </c>
      <c r="F18" s="124">
        <f t="shared" si="7"/>
        <v>2.2000000000000002</v>
      </c>
      <c r="G18" s="110">
        <f t="shared" si="1"/>
        <v>6.6004999715941377</v>
      </c>
      <c r="H18" s="110">
        <f t="shared" si="8"/>
        <v>0</v>
      </c>
      <c r="I18" s="32">
        <f t="shared" si="2"/>
        <v>-2.2004999715941373</v>
      </c>
      <c r="J18" s="84"/>
      <c r="K18" s="120">
        <f t="shared" si="3"/>
        <v>1.4668333238647123E-2</v>
      </c>
      <c r="L18" s="117">
        <f t="shared" si="9"/>
        <v>0</v>
      </c>
      <c r="M18" s="118">
        <f t="shared" si="10"/>
        <v>2.2000000000000002E-2</v>
      </c>
      <c r="N18" s="119">
        <f t="shared" si="4"/>
        <v>6.600499971594137E-2</v>
      </c>
      <c r="O18" s="119">
        <f t="shared" si="11"/>
        <v>0</v>
      </c>
      <c r="P18" s="113">
        <f t="shared" si="5"/>
        <v>-2.2004999715941369E-2</v>
      </c>
      <c r="Q18" s="84"/>
      <c r="R18" s="64"/>
      <c r="S18" s="4"/>
      <c r="T18" s="4"/>
      <c r="U18" s="4"/>
      <c r="V18" s="4"/>
      <c r="W18" s="4"/>
      <c r="X18" s="65"/>
      <c r="Y18" s="64"/>
      <c r="Z18" s="4"/>
      <c r="AA18" s="4"/>
      <c r="AB18" s="4"/>
      <c r="AC18" s="4"/>
      <c r="AD18" s="4"/>
      <c r="AE18" s="65"/>
      <c r="AF18" s="84"/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  <c r="BC18" s="84"/>
      <c r="BD18" s="84"/>
      <c r="BE18" s="84"/>
      <c r="BF18" s="84"/>
      <c r="BG18" s="84"/>
      <c r="BH18" s="84"/>
      <c r="BI18" s="84"/>
      <c r="BJ18" s="84"/>
      <c r="BK18" s="84"/>
      <c r="BL18" s="84"/>
      <c r="BM18" s="84"/>
      <c r="BN18" s="84"/>
      <c r="BO18" s="84"/>
    </row>
    <row r="19" spans="1:67" ht="15.75" thickBot="1">
      <c r="A19" s="80">
        <v>12</v>
      </c>
      <c r="B19" s="106">
        <v>2</v>
      </c>
      <c r="C19" s="72">
        <v>100</v>
      </c>
      <c r="D19" s="123">
        <f t="shared" si="0"/>
        <v>1.4668333238647124</v>
      </c>
      <c r="E19" s="132">
        <f t="shared" si="6"/>
        <v>2</v>
      </c>
      <c r="F19" s="124">
        <f t="shared" si="7"/>
        <v>2.2000000000000002</v>
      </c>
      <c r="G19" s="110">
        <f t="shared" si="1"/>
        <v>6.6004999715941377</v>
      </c>
      <c r="H19" s="110">
        <f t="shared" si="8"/>
        <v>0</v>
      </c>
      <c r="I19" s="32">
        <f t="shared" si="2"/>
        <v>-2.2004999715941373</v>
      </c>
      <c r="J19" s="84"/>
      <c r="K19" s="120">
        <f t="shared" si="3"/>
        <v>1.4668333238647123E-2</v>
      </c>
      <c r="L19" s="117">
        <f t="shared" si="9"/>
        <v>0.02</v>
      </c>
      <c r="M19" s="118">
        <f t="shared" si="10"/>
        <v>2.2000000000000002E-2</v>
      </c>
      <c r="N19" s="119">
        <f t="shared" si="4"/>
        <v>6.600499971594137E-2</v>
      </c>
      <c r="O19" s="119">
        <f t="shared" si="11"/>
        <v>0</v>
      </c>
      <c r="P19" s="113">
        <f t="shared" si="5"/>
        <v>-2.2004999715941369E-2</v>
      </c>
      <c r="Q19" s="84"/>
      <c r="R19" s="64"/>
      <c r="S19" s="4"/>
      <c r="T19" s="4"/>
      <c r="U19" s="4"/>
      <c r="V19" s="4"/>
      <c r="W19" s="4"/>
      <c r="X19" s="65"/>
      <c r="Y19" s="64"/>
      <c r="Z19" s="4"/>
      <c r="AA19" s="4"/>
      <c r="AB19" s="4"/>
      <c r="AC19" s="4"/>
      <c r="AD19" s="4"/>
      <c r="AE19" s="65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</row>
    <row r="20" spans="1:67" ht="15.75" thickBot="1">
      <c r="A20" s="80">
        <v>13</v>
      </c>
      <c r="B20" s="106">
        <v>1</v>
      </c>
      <c r="C20" s="72">
        <v>100</v>
      </c>
      <c r="D20" s="123">
        <f t="shared" si="0"/>
        <v>1.4668333238647124</v>
      </c>
      <c r="E20" s="132">
        <f t="shared" si="6"/>
        <v>1</v>
      </c>
      <c r="F20" s="124">
        <f t="shared" si="7"/>
        <v>2.2000000000000002</v>
      </c>
      <c r="G20" s="110">
        <f t="shared" si="1"/>
        <v>6.6004999715941377</v>
      </c>
      <c r="H20" s="110">
        <f t="shared" si="8"/>
        <v>0</v>
      </c>
      <c r="I20" s="32">
        <f t="shared" si="2"/>
        <v>-2.2004999715941373</v>
      </c>
      <c r="J20" s="84"/>
      <c r="K20" s="120">
        <f t="shared" si="3"/>
        <v>1.4668333238647123E-2</v>
      </c>
      <c r="L20" s="117">
        <f t="shared" si="9"/>
        <v>0.01</v>
      </c>
      <c r="M20" s="118">
        <f t="shared" si="10"/>
        <v>2.2000000000000002E-2</v>
      </c>
      <c r="N20" s="119">
        <f t="shared" si="4"/>
        <v>6.600499971594137E-2</v>
      </c>
      <c r="O20" s="119">
        <f t="shared" si="11"/>
        <v>0</v>
      </c>
      <c r="P20" s="113">
        <f t="shared" si="5"/>
        <v>-2.2004999715941369E-2</v>
      </c>
      <c r="Q20" s="84"/>
      <c r="R20" s="64"/>
      <c r="S20" s="4"/>
      <c r="T20" s="4"/>
      <c r="U20" s="4"/>
      <c r="V20" s="4"/>
      <c r="W20" s="4"/>
      <c r="X20" s="65"/>
      <c r="Y20" s="64"/>
      <c r="Z20" s="4"/>
      <c r="AA20" s="4"/>
      <c r="AB20" s="4"/>
      <c r="AC20" s="4"/>
      <c r="AD20" s="4"/>
      <c r="AE20" s="65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4"/>
      <c r="AS20" s="84"/>
      <c r="AT20" s="84"/>
      <c r="AU20" s="84"/>
      <c r="AV20" s="84"/>
      <c r="AW20" s="84"/>
      <c r="AX20" s="84"/>
      <c r="AY20" s="84"/>
      <c r="AZ20" s="84"/>
      <c r="BA20" s="84"/>
      <c r="BB20" s="84"/>
      <c r="BC20" s="84"/>
      <c r="BD20" s="84"/>
      <c r="BE20" s="84"/>
      <c r="BF20" s="84"/>
      <c r="BG20" s="84"/>
      <c r="BH20" s="84"/>
      <c r="BI20" s="84"/>
      <c r="BJ20" s="84"/>
      <c r="BK20" s="84"/>
      <c r="BL20" s="84"/>
      <c r="BM20" s="84"/>
      <c r="BN20" s="84"/>
      <c r="BO20" s="84"/>
    </row>
    <row r="21" spans="1:67" ht="15.75" thickBot="1">
      <c r="A21" s="80">
        <v>14</v>
      </c>
      <c r="B21" s="106">
        <v>3</v>
      </c>
      <c r="C21" s="72">
        <v>100</v>
      </c>
      <c r="D21" s="123">
        <f t="shared" si="0"/>
        <v>1.4668333238647124</v>
      </c>
      <c r="E21" s="132">
        <f t="shared" si="6"/>
        <v>3</v>
      </c>
      <c r="F21" s="124">
        <f t="shared" si="7"/>
        <v>2.2000000000000002</v>
      </c>
      <c r="G21" s="110">
        <f t="shared" si="1"/>
        <v>6.6004999715941377</v>
      </c>
      <c r="H21" s="110">
        <f t="shared" si="8"/>
        <v>0</v>
      </c>
      <c r="I21" s="32">
        <f t="shared" si="2"/>
        <v>-2.2004999715941373</v>
      </c>
      <c r="J21" s="84"/>
      <c r="K21" s="120">
        <f t="shared" si="3"/>
        <v>1.4668333238647123E-2</v>
      </c>
      <c r="L21" s="117">
        <f t="shared" si="9"/>
        <v>0.03</v>
      </c>
      <c r="M21" s="118">
        <f t="shared" si="10"/>
        <v>2.2000000000000002E-2</v>
      </c>
      <c r="N21" s="119">
        <f t="shared" si="4"/>
        <v>6.600499971594137E-2</v>
      </c>
      <c r="O21" s="119">
        <f t="shared" si="11"/>
        <v>0</v>
      </c>
      <c r="P21" s="113">
        <f t="shared" si="5"/>
        <v>-2.2004999715941369E-2</v>
      </c>
      <c r="Q21" s="84"/>
      <c r="R21" s="64"/>
      <c r="S21" s="4"/>
      <c r="T21" s="4"/>
      <c r="U21" s="4"/>
      <c r="V21" s="4"/>
      <c r="W21" s="4"/>
      <c r="X21" s="65"/>
      <c r="Y21" s="64"/>
      <c r="Z21" s="4"/>
      <c r="AA21" s="4"/>
      <c r="AB21" s="4"/>
      <c r="AC21" s="4"/>
      <c r="AD21" s="4"/>
      <c r="AE21" s="65"/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</row>
    <row r="22" spans="1:67" ht="15.75" thickBot="1">
      <c r="A22" s="80">
        <v>15</v>
      </c>
      <c r="B22" s="106">
        <v>4</v>
      </c>
      <c r="C22" s="72">
        <v>100</v>
      </c>
      <c r="D22" s="123">
        <f t="shared" si="0"/>
        <v>1.4668333238647124</v>
      </c>
      <c r="E22" s="132">
        <f t="shared" si="6"/>
        <v>4</v>
      </c>
      <c r="F22" s="124">
        <f t="shared" si="7"/>
        <v>2.2000000000000002</v>
      </c>
      <c r="G22" s="110">
        <f t="shared" si="1"/>
        <v>6.6004999715941377</v>
      </c>
      <c r="H22" s="110">
        <f t="shared" si="8"/>
        <v>0</v>
      </c>
      <c r="I22" s="32">
        <f t="shared" si="2"/>
        <v>-2.2004999715941373</v>
      </c>
      <c r="J22" s="84"/>
      <c r="K22" s="120">
        <f t="shared" si="3"/>
        <v>1.4668333238647123E-2</v>
      </c>
      <c r="L22" s="117">
        <f t="shared" si="9"/>
        <v>0.04</v>
      </c>
      <c r="M22" s="118">
        <f t="shared" si="10"/>
        <v>2.2000000000000002E-2</v>
      </c>
      <c r="N22" s="119">
        <f t="shared" si="4"/>
        <v>6.600499971594137E-2</v>
      </c>
      <c r="O22" s="119">
        <f t="shared" si="11"/>
        <v>0</v>
      </c>
      <c r="P22" s="113">
        <f t="shared" si="5"/>
        <v>-2.2004999715941369E-2</v>
      </c>
      <c r="Q22" s="84"/>
      <c r="R22" s="64"/>
      <c r="S22" s="4"/>
      <c r="T22" s="4"/>
      <c r="U22" s="4"/>
      <c r="V22" s="4"/>
      <c r="W22" s="4"/>
      <c r="X22" s="65"/>
      <c r="Y22" s="64"/>
      <c r="Z22" s="4"/>
      <c r="AA22" s="4"/>
      <c r="AB22" s="4"/>
      <c r="AC22" s="4"/>
      <c r="AD22" s="4"/>
      <c r="AE22" s="65"/>
      <c r="AF22" s="84"/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</row>
    <row r="23" spans="1:67" ht="15.75" thickBot="1">
      <c r="A23" s="80">
        <v>16</v>
      </c>
      <c r="B23" s="106">
        <v>1</v>
      </c>
      <c r="C23" s="72">
        <v>100</v>
      </c>
      <c r="D23" s="123">
        <f t="shared" si="0"/>
        <v>1.4668333238647124</v>
      </c>
      <c r="E23" s="132">
        <f t="shared" si="6"/>
        <v>1</v>
      </c>
      <c r="F23" s="124">
        <f t="shared" si="7"/>
        <v>2.2000000000000002</v>
      </c>
      <c r="G23" s="110">
        <f t="shared" si="1"/>
        <v>6.6004999715941377</v>
      </c>
      <c r="H23" s="110">
        <f t="shared" si="8"/>
        <v>0</v>
      </c>
      <c r="I23" s="32">
        <f t="shared" si="2"/>
        <v>-2.2004999715941373</v>
      </c>
      <c r="J23" s="84"/>
      <c r="K23" s="120">
        <f t="shared" si="3"/>
        <v>1.4668333238647123E-2</v>
      </c>
      <c r="L23" s="117">
        <f t="shared" si="9"/>
        <v>0.01</v>
      </c>
      <c r="M23" s="118">
        <f t="shared" si="10"/>
        <v>2.2000000000000002E-2</v>
      </c>
      <c r="N23" s="119">
        <f t="shared" si="4"/>
        <v>6.600499971594137E-2</v>
      </c>
      <c r="O23" s="119">
        <f t="shared" si="11"/>
        <v>0</v>
      </c>
      <c r="P23" s="113">
        <f t="shared" si="5"/>
        <v>-2.2004999715941369E-2</v>
      </c>
      <c r="Q23" s="84"/>
      <c r="R23" s="64"/>
      <c r="S23" s="4"/>
      <c r="T23" s="4"/>
      <c r="U23" s="4"/>
      <c r="V23" s="4"/>
      <c r="W23" s="4"/>
      <c r="X23" s="65"/>
      <c r="Y23" s="64"/>
      <c r="Z23" s="4"/>
      <c r="AA23" s="4"/>
      <c r="AB23" s="4"/>
      <c r="AC23" s="4"/>
      <c r="AD23" s="4"/>
      <c r="AE23" s="65"/>
      <c r="AF23" s="84"/>
      <c r="AG23" s="84"/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4"/>
      <c r="AS23" s="84"/>
      <c r="AT23" s="84"/>
      <c r="AU23" s="84"/>
      <c r="AV23" s="84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  <c r="BN23" s="84"/>
      <c r="BO23" s="84"/>
    </row>
    <row r="24" spans="1:67" ht="15.75" thickBot="1">
      <c r="A24" s="80">
        <v>17</v>
      </c>
      <c r="B24" s="106">
        <v>1</v>
      </c>
      <c r="C24" s="72">
        <v>100</v>
      </c>
      <c r="D24" s="123">
        <f t="shared" si="0"/>
        <v>1.4668333238647124</v>
      </c>
      <c r="E24" s="132">
        <f t="shared" si="6"/>
        <v>1</v>
      </c>
      <c r="F24" s="124">
        <f t="shared" si="7"/>
        <v>2.2000000000000002</v>
      </c>
      <c r="G24" s="110">
        <f t="shared" si="1"/>
        <v>6.6004999715941377</v>
      </c>
      <c r="H24" s="110">
        <f t="shared" si="8"/>
        <v>0</v>
      </c>
      <c r="I24" s="32">
        <f t="shared" si="2"/>
        <v>-2.2004999715941373</v>
      </c>
      <c r="J24" s="84"/>
      <c r="K24" s="120">
        <f t="shared" si="3"/>
        <v>1.4668333238647123E-2</v>
      </c>
      <c r="L24" s="117">
        <f t="shared" si="9"/>
        <v>0.01</v>
      </c>
      <c r="M24" s="118">
        <f t="shared" si="10"/>
        <v>2.2000000000000002E-2</v>
      </c>
      <c r="N24" s="119">
        <f t="shared" si="4"/>
        <v>6.600499971594137E-2</v>
      </c>
      <c r="O24" s="119">
        <f t="shared" si="11"/>
        <v>0</v>
      </c>
      <c r="P24" s="113">
        <f t="shared" si="5"/>
        <v>-2.2004999715941369E-2</v>
      </c>
      <c r="Q24" s="84"/>
      <c r="R24" s="64"/>
      <c r="S24" s="4"/>
      <c r="T24" s="4"/>
      <c r="U24" s="4"/>
      <c r="V24" s="4"/>
      <c r="W24" s="4"/>
      <c r="X24" s="65"/>
      <c r="Y24" s="64"/>
      <c r="Z24" s="4"/>
      <c r="AA24" s="4"/>
      <c r="AB24" s="4"/>
      <c r="AC24" s="4"/>
      <c r="AD24" s="4"/>
      <c r="AE24" s="65"/>
      <c r="AF24" s="84"/>
      <c r="AG24" s="84"/>
      <c r="AH24" s="84"/>
      <c r="AI24" s="84"/>
      <c r="AJ24" s="84"/>
      <c r="AK24" s="84"/>
      <c r="AL24" s="84"/>
      <c r="AM24" s="84"/>
      <c r="AN24" s="84"/>
      <c r="AO24" s="84"/>
      <c r="AP24" s="84"/>
      <c r="AQ24" s="84"/>
      <c r="AR24" s="84"/>
      <c r="AS24" s="84"/>
      <c r="AT24" s="84"/>
      <c r="AU24" s="84"/>
      <c r="AV24" s="84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  <c r="BN24" s="84"/>
      <c r="BO24" s="84"/>
    </row>
    <row r="25" spans="1:67" ht="15.75" thickBot="1">
      <c r="A25" s="80">
        <v>18</v>
      </c>
      <c r="B25" s="106">
        <v>2</v>
      </c>
      <c r="C25" s="72">
        <v>100</v>
      </c>
      <c r="D25" s="123">
        <f t="shared" si="0"/>
        <v>1.4668333238647124</v>
      </c>
      <c r="E25" s="132">
        <f t="shared" si="6"/>
        <v>2</v>
      </c>
      <c r="F25" s="124">
        <f t="shared" si="7"/>
        <v>2.2000000000000002</v>
      </c>
      <c r="G25" s="110">
        <f t="shared" si="1"/>
        <v>6.6004999715941377</v>
      </c>
      <c r="H25" s="110">
        <f t="shared" si="8"/>
        <v>0</v>
      </c>
      <c r="I25" s="32">
        <f t="shared" si="2"/>
        <v>-2.2004999715941373</v>
      </c>
      <c r="J25" s="84"/>
      <c r="K25" s="120">
        <f t="shared" si="3"/>
        <v>1.4668333238647123E-2</v>
      </c>
      <c r="L25" s="117">
        <f t="shared" si="9"/>
        <v>0.02</v>
      </c>
      <c r="M25" s="118">
        <f t="shared" si="10"/>
        <v>2.2000000000000002E-2</v>
      </c>
      <c r="N25" s="119">
        <f t="shared" si="4"/>
        <v>6.600499971594137E-2</v>
      </c>
      <c r="O25" s="119">
        <f t="shared" si="11"/>
        <v>0</v>
      </c>
      <c r="P25" s="113">
        <f t="shared" si="5"/>
        <v>-2.2004999715941369E-2</v>
      </c>
      <c r="Q25" s="84"/>
      <c r="R25" s="64"/>
      <c r="S25" s="4"/>
      <c r="T25" s="4"/>
      <c r="U25" s="4"/>
      <c r="V25" s="4"/>
      <c r="W25" s="4"/>
      <c r="X25" s="65"/>
      <c r="Y25" s="64"/>
      <c r="Z25" s="4"/>
      <c r="AA25" s="4"/>
      <c r="AB25" s="4"/>
      <c r="AC25" s="4"/>
      <c r="AD25" s="4"/>
      <c r="AE25" s="65"/>
      <c r="AF25" s="84"/>
      <c r="AG25" s="84"/>
      <c r="AH25" s="84"/>
      <c r="AI25" s="84"/>
      <c r="AJ25" s="84"/>
      <c r="AK25" s="84"/>
      <c r="AL25" s="84"/>
      <c r="AM25" s="84"/>
      <c r="AN25" s="84"/>
      <c r="AO25" s="84"/>
      <c r="AP25" s="84"/>
      <c r="AQ25" s="84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</row>
    <row r="26" spans="1:67" ht="15.75" thickBot="1">
      <c r="A26" s="80">
        <v>19</v>
      </c>
      <c r="B26" s="106">
        <v>5</v>
      </c>
      <c r="C26" s="72">
        <v>100</v>
      </c>
      <c r="D26" s="123">
        <f t="shared" si="0"/>
        <v>1.4668333238647124</v>
      </c>
      <c r="E26" s="132">
        <f t="shared" si="6"/>
        <v>5</v>
      </c>
      <c r="F26" s="124">
        <f t="shared" si="7"/>
        <v>2.2000000000000002</v>
      </c>
      <c r="G26" s="110">
        <f t="shared" si="1"/>
        <v>6.6004999715941377</v>
      </c>
      <c r="H26" s="110">
        <f t="shared" si="8"/>
        <v>0</v>
      </c>
      <c r="I26" s="32">
        <f t="shared" si="2"/>
        <v>-2.2004999715941373</v>
      </c>
      <c r="J26" s="84"/>
      <c r="K26" s="120">
        <f t="shared" si="3"/>
        <v>1.4668333238647123E-2</v>
      </c>
      <c r="L26" s="117">
        <f t="shared" si="9"/>
        <v>0.05</v>
      </c>
      <c r="M26" s="118">
        <f t="shared" si="10"/>
        <v>2.2000000000000002E-2</v>
      </c>
      <c r="N26" s="119">
        <f t="shared" si="4"/>
        <v>6.600499971594137E-2</v>
      </c>
      <c r="O26" s="119">
        <f t="shared" si="11"/>
        <v>0</v>
      </c>
      <c r="P26" s="113">
        <f t="shared" si="5"/>
        <v>-2.2004999715941369E-2</v>
      </c>
      <c r="Q26" s="84"/>
      <c r="R26" s="64"/>
      <c r="S26" s="4"/>
      <c r="T26" s="4"/>
      <c r="U26" s="4"/>
      <c r="V26" s="4"/>
      <c r="W26" s="4"/>
      <c r="X26" s="65"/>
      <c r="Y26" s="64"/>
      <c r="Z26" s="4"/>
      <c r="AA26" s="4"/>
      <c r="AB26" s="4"/>
      <c r="AC26" s="4"/>
      <c r="AD26" s="4"/>
      <c r="AE26" s="65"/>
      <c r="AF26" s="84"/>
      <c r="AG26" s="84"/>
      <c r="AH26" s="84"/>
      <c r="AI26" s="84"/>
      <c r="AJ26" s="84"/>
      <c r="AK26" s="84"/>
      <c r="AL26" s="84"/>
      <c r="AM26" s="84"/>
      <c r="AN26" s="84"/>
      <c r="AO26" s="84"/>
      <c r="AP26" s="84"/>
      <c r="AQ26" s="84"/>
      <c r="AR26" s="84"/>
      <c r="AS26" s="84"/>
      <c r="AT26" s="84"/>
      <c r="AU26" s="84"/>
      <c r="AV26" s="84"/>
      <c r="AW26" s="84"/>
      <c r="AX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</row>
    <row r="27" spans="1:67" ht="15.75" thickBot="1">
      <c r="A27" s="80">
        <v>20</v>
      </c>
      <c r="B27" s="106">
        <v>2</v>
      </c>
      <c r="C27" s="72">
        <v>100</v>
      </c>
      <c r="D27" s="123">
        <f t="shared" si="0"/>
        <v>1.4668333238647124</v>
      </c>
      <c r="E27" s="132">
        <f t="shared" si="6"/>
        <v>2</v>
      </c>
      <c r="F27" s="124">
        <f t="shared" si="7"/>
        <v>2.2000000000000002</v>
      </c>
      <c r="G27" s="110">
        <f t="shared" si="1"/>
        <v>6.6004999715941377</v>
      </c>
      <c r="H27" s="110">
        <f t="shared" si="8"/>
        <v>0</v>
      </c>
      <c r="I27" s="32">
        <f t="shared" si="2"/>
        <v>-2.2004999715941373</v>
      </c>
      <c r="J27" s="84"/>
      <c r="K27" s="120">
        <f t="shared" si="3"/>
        <v>1.4668333238647123E-2</v>
      </c>
      <c r="L27" s="117">
        <f t="shared" si="9"/>
        <v>0.02</v>
      </c>
      <c r="M27" s="118">
        <f t="shared" si="10"/>
        <v>2.2000000000000002E-2</v>
      </c>
      <c r="N27" s="119">
        <f t="shared" si="4"/>
        <v>6.600499971594137E-2</v>
      </c>
      <c r="O27" s="119">
        <f t="shared" si="11"/>
        <v>0</v>
      </c>
      <c r="P27" s="113">
        <f t="shared" si="5"/>
        <v>-2.2004999715941369E-2</v>
      </c>
      <c r="Q27" s="84"/>
      <c r="R27" s="64"/>
      <c r="S27" s="4"/>
      <c r="T27" s="4"/>
      <c r="U27" s="4"/>
      <c r="V27" s="4"/>
      <c r="W27" s="4"/>
      <c r="X27" s="65"/>
      <c r="Y27" s="64"/>
      <c r="Z27" s="4"/>
      <c r="AA27" s="4"/>
      <c r="AB27" s="4"/>
      <c r="AC27" s="4"/>
      <c r="AD27" s="4"/>
      <c r="AE27" s="65"/>
      <c r="AF27" s="84"/>
      <c r="AG27" s="84"/>
      <c r="AH27" s="84"/>
      <c r="AI27" s="84"/>
      <c r="AJ27" s="84"/>
      <c r="AK27" s="84"/>
      <c r="AL27" s="84"/>
      <c r="AM27" s="84"/>
      <c r="AN27" s="84"/>
      <c r="AO27" s="84"/>
      <c r="AP27" s="84"/>
      <c r="AQ27" s="84"/>
      <c r="AR27" s="84"/>
      <c r="AS27" s="84"/>
      <c r="AT27" s="84"/>
      <c r="AU27" s="84"/>
      <c r="AV27" s="84"/>
      <c r="AW27" s="84"/>
      <c r="AX27" s="84"/>
      <c r="AY27" s="84"/>
      <c r="AZ27" s="84"/>
      <c r="BA27" s="84"/>
      <c r="BB27" s="84"/>
      <c r="BC27" s="84"/>
      <c r="BD27" s="84"/>
      <c r="BE27" s="84"/>
      <c r="BF27" s="84"/>
      <c r="BG27" s="84"/>
      <c r="BH27" s="84"/>
      <c r="BI27" s="84"/>
      <c r="BJ27" s="84"/>
      <c r="BK27" s="84"/>
      <c r="BL27" s="84"/>
      <c r="BM27" s="84"/>
      <c r="BN27" s="84"/>
      <c r="BO27" s="84"/>
    </row>
    <row r="28" spans="1:67" ht="15.75" thickBot="1">
      <c r="A28" s="80">
        <v>21</v>
      </c>
      <c r="B28" s="106">
        <v>3</v>
      </c>
      <c r="C28" s="72">
        <v>100</v>
      </c>
      <c r="D28" s="123">
        <f t="shared" si="0"/>
        <v>1.4668333238647124</v>
      </c>
      <c r="E28" s="132">
        <f t="shared" si="6"/>
        <v>3</v>
      </c>
      <c r="F28" s="124">
        <f t="shared" si="7"/>
        <v>2.2000000000000002</v>
      </c>
      <c r="G28" s="110">
        <f t="shared" si="1"/>
        <v>6.6004999715941377</v>
      </c>
      <c r="H28" s="110">
        <f t="shared" si="8"/>
        <v>0</v>
      </c>
      <c r="I28" s="32">
        <f t="shared" si="2"/>
        <v>-2.2004999715941373</v>
      </c>
      <c r="J28" s="84"/>
      <c r="K28" s="120">
        <f t="shared" si="3"/>
        <v>1.4668333238647123E-2</v>
      </c>
      <c r="L28" s="117">
        <f t="shared" si="9"/>
        <v>0.03</v>
      </c>
      <c r="M28" s="118">
        <f t="shared" si="10"/>
        <v>2.2000000000000002E-2</v>
      </c>
      <c r="N28" s="119">
        <f t="shared" si="4"/>
        <v>6.600499971594137E-2</v>
      </c>
      <c r="O28" s="119">
        <f t="shared" si="11"/>
        <v>0</v>
      </c>
      <c r="P28" s="113">
        <f t="shared" si="5"/>
        <v>-2.2004999715941369E-2</v>
      </c>
      <c r="Q28" s="84"/>
      <c r="R28" s="64"/>
      <c r="S28" s="4"/>
      <c r="T28" s="4"/>
      <c r="U28" s="4"/>
      <c r="V28" s="4"/>
      <c r="W28" s="4"/>
      <c r="X28" s="65"/>
      <c r="Y28" s="64"/>
      <c r="Z28" s="4"/>
      <c r="AA28" s="4"/>
      <c r="AB28" s="4"/>
      <c r="AC28" s="4"/>
      <c r="AD28" s="4"/>
      <c r="AE28" s="65"/>
      <c r="AF28" s="84"/>
      <c r="AG28" s="84"/>
      <c r="AH28" s="84"/>
      <c r="AI28" s="84"/>
      <c r="AJ28" s="84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84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</row>
    <row r="29" spans="1:67" ht="15.75" thickBot="1">
      <c r="A29" s="80">
        <v>22</v>
      </c>
      <c r="B29" s="106">
        <v>4</v>
      </c>
      <c r="C29" s="72">
        <v>100</v>
      </c>
      <c r="D29" s="123">
        <f t="shared" si="0"/>
        <v>1.4668333238647124</v>
      </c>
      <c r="E29" s="132">
        <f t="shared" si="6"/>
        <v>4</v>
      </c>
      <c r="F29" s="124">
        <f t="shared" si="7"/>
        <v>2.2000000000000002</v>
      </c>
      <c r="G29" s="110">
        <f t="shared" si="1"/>
        <v>6.6004999715941377</v>
      </c>
      <c r="H29" s="110">
        <f t="shared" si="8"/>
        <v>0</v>
      </c>
      <c r="I29" s="32">
        <f t="shared" si="2"/>
        <v>-2.2004999715941373</v>
      </c>
      <c r="J29" s="84"/>
      <c r="K29" s="120">
        <f t="shared" si="3"/>
        <v>1.4668333238647123E-2</v>
      </c>
      <c r="L29" s="117">
        <f t="shared" si="9"/>
        <v>0.04</v>
      </c>
      <c r="M29" s="118">
        <f t="shared" si="10"/>
        <v>2.2000000000000002E-2</v>
      </c>
      <c r="N29" s="119">
        <f t="shared" si="4"/>
        <v>6.600499971594137E-2</v>
      </c>
      <c r="O29" s="119">
        <f t="shared" si="11"/>
        <v>0</v>
      </c>
      <c r="P29" s="113">
        <f t="shared" si="5"/>
        <v>-2.2004999715941369E-2</v>
      </c>
      <c r="Q29" s="84"/>
      <c r="R29" s="64"/>
      <c r="S29" s="4"/>
      <c r="T29" s="4"/>
      <c r="U29" s="4"/>
      <c r="V29" s="4"/>
      <c r="W29" s="4"/>
      <c r="X29" s="65"/>
      <c r="Y29" s="64"/>
      <c r="Z29" s="4"/>
      <c r="AA29" s="4"/>
      <c r="AB29" s="4"/>
      <c r="AC29" s="4"/>
      <c r="AD29" s="4"/>
      <c r="AE29" s="65"/>
      <c r="AF29" s="84"/>
      <c r="AG29" s="84"/>
      <c r="AH29" s="84"/>
      <c r="AI29" s="84"/>
      <c r="AJ29" s="84"/>
      <c r="AK29" s="84"/>
      <c r="AL29" s="84"/>
      <c r="AM29" s="84"/>
      <c r="AN29" s="84"/>
      <c r="AO29" s="84"/>
      <c r="AP29" s="84"/>
      <c r="AQ29" s="84"/>
      <c r="AR29" s="84"/>
      <c r="AS29" s="84"/>
      <c r="AT29" s="84"/>
      <c r="AU29" s="84"/>
      <c r="AV29" s="84"/>
      <c r="AW29" s="84"/>
      <c r="AX29" s="84"/>
      <c r="AY29" s="84"/>
      <c r="AZ29" s="84"/>
      <c r="BA29" s="84"/>
      <c r="BB29" s="84"/>
      <c r="BC29" s="84"/>
      <c r="BD29" s="84"/>
      <c r="BE29" s="84"/>
      <c r="BF29" s="84"/>
      <c r="BG29" s="84"/>
      <c r="BH29" s="84"/>
      <c r="BI29" s="84"/>
      <c r="BJ29" s="84"/>
      <c r="BK29" s="84"/>
      <c r="BL29" s="84"/>
      <c r="BM29" s="84"/>
      <c r="BN29" s="84"/>
      <c r="BO29" s="84"/>
    </row>
    <row r="30" spans="1:67" ht="15.75" thickBot="1">
      <c r="A30" s="80">
        <v>23</v>
      </c>
      <c r="B30" s="106">
        <v>1</v>
      </c>
      <c r="C30" s="72">
        <v>100</v>
      </c>
      <c r="D30" s="123">
        <f t="shared" si="0"/>
        <v>1.4668333238647124</v>
      </c>
      <c r="E30" s="132">
        <f t="shared" si="6"/>
        <v>1</v>
      </c>
      <c r="F30" s="124">
        <f t="shared" si="7"/>
        <v>2.2000000000000002</v>
      </c>
      <c r="G30" s="110">
        <f t="shared" si="1"/>
        <v>6.6004999715941377</v>
      </c>
      <c r="H30" s="110">
        <f t="shared" si="8"/>
        <v>0</v>
      </c>
      <c r="I30" s="32">
        <f t="shared" si="2"/>
        <v>-2.2004999715941373</v>
      </c>
      <c r="J30" s="84"/>
      <c r="K30" s="120">
        <f t="shared" si="3"/>
        <v>1.4668333238647123E-2</v>
      </c>
      <c r="L30" s="117">
        <f t="shared" si="9"/>
        <v>0.01</v>
      </c>
      <c r="M30" s="118">
        <f t="shared" si="10"/>
        <v>2.2000000000000002E-2</v>
      </c>
      <c r="N30" s="119">
        <f t="shared" si="4"/>
        <v>6.600499971594137E-2</v>
      </c>
      <c r="O30" s="119">
        <f t="shared" si="11"/>
        <v>0</v>
      </c>
      <c r="P30" s="113">
        <f t="shared" si="5"/>
        <v>-2.2004999715941369E-2</v>
      </c>
      <c r="Q30" s="84"/>
      <c r="R30" s="64"/>
      <c r="S30" s="4"/>
      <c r="T30" s="4"/>
      <c r="U30" s="4"/>
      <c r="V30" s="4"/>
      <c r="W30" s="4"/>
      <c r="X30" s="65"/>
      <c r="Y30" s="64"/>
      <c r="Z30" s="4"/>
      <c r="AA30" s="4"/>
      <c r="AB30" s="4"/>
      <c r="AC30" s="4"/>
      <c r="AD30" s="4"/>
      <c r="AE30" s="65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84"/>
      <c r="AW30" s="84"/>
      <c r="AX30" s="84"/>
      <c r="AY30" s="84"/>
      <c r="AZ30" s="84"/>
      <c r="BA30" s="84"/>
      <c r="BB30" s="84"/>
      <c r="BC30" s="84"/>
      <c r="BD30" s="84"/>
      <c r="BE30" s="84"/>
      <c r="BF30" s="84"/>
      <c r="BG30" s="84"/>
      <c r="BH30" s="84"/>
      <c r="BI30" s="84"/>
      <c r="BJ30" s="84"/>
      <c r="BK30" s="84"/>
      <c r="BL30" s="84"/>
      <c r="BM30" s="84"/>
      <c r="BN30" s="84"/>
      <c r="BO30" s="84"/>
    </row>
    <row r="31" spans="1:67" ht="15.75" thickBot="1">
      <c r="A31" s="80">
        <v>24</v>
      </c>
      <c r="B31" s="106">
        <v>0</v>
      </c>
      <c r="C31" s="72">
        <v>100</v>
      </c>
      <c r="D31" s="123">
        <f t="shared" si="0"/>
        <v>1.4668333238647124</v>
      </c>
      <c r="E31" s="132">
        <f t="shared" si="6"/>
        <v>0</v>
      </c>
      <c r="F31" s="124">
        <f t="shared" si="7"/>
        <v>2.2000000000000002</v>
      </c>
      <c r="G31" s="110">
        <f t="shared" si="1"/>
        <v>6.6004999715941377</v>
      </c>
      <c r="H31" s="110">
        <f t="shared" si="8"/>
        <v>0</v>
      </c>
      <c r="I31" s="32">
        <f t="shared" si="2"/>
        <v>-2.2004999715941373</v>
      </c>
      <c r="J31" s="84"/>
      <c r="K31" s="120">
        <f t="shared" si="3"/>
        <v>1.4668333238647123E-2</v>
      </c>
      <c r="L31" s="117">
        <f t="shared" si="9"/>
        <v>0</v>
      </c>
      <c r="M31" s="118">
        <f t="shared" si="10"/>
        <v>2.2000000000000002E-2</v>
      </c>
      <c r="N31" s="119">
        <f t="shared" si="4"/>
        <v>6.600499971594137E-2</v>
      </c>
      <c r="O31" s="119">
        <f t="shared" si="11"/>
        <v>0</v>
      </c>
      <c r="P31" s="113">
        <f t="shared" si="5"/>
        <v>-2.2004999715941369E-2</v>
      </c>
      <c r="Q31" s="84"/>
      <c r="R31" s="64"/>
      <c r="S31" s="4"/>
      <c r="T31" s="4"/>
      <c r="U31" s="4"/>
      <c r="V31" s="4"/>
      <c r="W31" s="4"/>
      <c r="X31" s="65"/>
      <c r="Y31" s="64"/>
      <c r="Z31" s="4"/>
      <c r="AA31" s="4"/>
      <c r="AB31" s="4"/>
      <c r="AC31" s="4"/>
      <c r="AD31" s="4"/>
      <c r="AE31" s="65"/>
      <c r="AF31" s="84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4"/>
      <c r="AS31" s="84"/>
      <c r="AT31" s="84"/>
      <c r="AU31" s="84"/>
      <c r="AV31" s="84"/>
      <c r="AW31" s="84"/>
      <c r="AX31" s="84"/>
      <c r="AY31" s="84"/>
      <c r="AZ31" s="84"/>
      <c r="BA31" s="84"/>
      <c r="BB31" s="84"/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  <c r="BN31" s="84"/>
      <c r="BO31" s="84"/>
    </row>
    <row r="32" spans="1:67" ht="15.75" thickBot="1">
      <c r="A32" s="80">
        <v>25</v>
      </c>
      <c r="B32" s="106">
        <v>1</v>
      </c>
      <c r="C32" s="72">
        <v>100</v>
      </c>
      <c r="D32" s="123">
        <f t="shared" si="0"/>
        <v>1.4668333238647124</v>
      </c>
      <c r="E32" s="132">
        <f t="shared" si="6"/>
        <v>1</v>
      </c>
      <c r="F32" s="124">
        <f t="shared" si="7"/>
        <v>2.2000000000000002</v>
      </c>
      <c r="G32" s="110">
        <f t="shared" si="1"/>
        <v>6.6004999715941377</v>
      </c>
      <c r="H32" s="110">
        <f t="shared" si="8"/>
        <v>0</v>
      </c>
      <c r="I32" s="32">
        <f t="shared" si="2"/>
        <v>-2.2004999715941373</v>
      </c>
      <c r="J32" s="84"/>
      <c r="K32" s="120">
        <f t="shared" si="3"/>
        <v>1.4668333238647123E-2</v>
      </c>
      <c r="L32" s="117">
        <f t="shared" si="9"/>
        <v>0.01</v>
      </c>
      <c r="M32" s="118">
        <f t="shared" si="10"/>
        <v>2.2000000000000002E-2</v>
      </c>
      <c r="N32" s="119">
        <f t="shared" si="4"/>
        <v>6.600499971594137E-2</v>
      </c>
      <c r="O32" s="119">
        <f t="shared" si="11"/>
        <v>0</v>
      </c>
      <c r="P32" s="113">
        <f t="shared" si="5"/>
        <v>-2.2004999715941369E-2</v>
      </c>
      <c r="Q32" s="84"/>
      <c r="R32" s="64"/>
      <c r="S32" s="4"/>
      <c r="T32" s="4"/>
      <c r="U32" s="4"/>
      <c r="V32" s="4"/>
      <c r="W32" s="4"/>
      <c r="X32" s="65"/>
      <c r="Y32" s="64"/>
      <c r="Z32" s="4"/>
      <c r="AA32" s="4"/>
      <c r="AB32" s="4"/>
      <c r="AC32" s="4"/>
      <c r="AD32" s="4"/>
      <c r="AE32" s="65"/>
      <c r="AF32" s="84"/>
      <c r="AG32" s="84"/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4"/>
      <c r="AS32" s="84"/>
      <c r="AT32" s="84"/>
      <c r="AU32" s="84"/>
      <c r="AV32" s="84"/>
      <c r="AW32" s="84"/>
      <c r="AX32" s="84"/>
      <c r="AY32" s="84"/>
      <c r="AZ32" s="84"/>
      <c r="BA32" s="84"/>
      <c r="BB32" s="84"/>
      <c r="BC32" s="84"/>
      <c r="BD32" s="84"/>
      <c r="BE32" s="84"/>
      <c r="BF32" s="84"/>
      <c r="BG32" s="84"/>
      <c r="BH32" s="84"/>
      <c r="BI32" s="84"/>
      <c r="BJ32" s="84"/>
      <c r="BK32" s="84"/>
      <c r="BL32" s="84"/>
      <c r="BM32" s="84"/>
      <c r="BN32" s="84"/>
      <c r="BO32" s="84"/>
    </row>
    <row r="33" spans="1:67" ht="15.75" thickBot="1">
      <c r="A33" s="2"/>
      <c r="B33" s="23"/>
      <c r="C33" s="23"/>
      <c r="D33" s="123" t="str">
        <f t="shared" si="0"/>
        <v/>
      </c>
      <c r="E33" s="132" t="str">
        <f t="shared" si="6"/>
        <v/>
      </c>
      <c r="F33" s="124" t="str">
        <f t="shared" si="7"/>
        <v/>
      </c>
      <c r="G33" s="110" t="str">
        <f t="shared" si="1"/>
        <v/>
      </c>
      <c r="H33" s="110" t="str">
        <f t="shared" si="8"/>
        <v/>
      </c>
      <c r="I33" s="32" t="str">
        <f t="shared" si="2"/>
        <v/>
      </c>
      <c r="J33" s="84"/>
      <c r="K33" s="120" t="str">
        <f t="shared" si="3"/>
        <v/>
      </c>
      <c r="L33" s="117" t="str">
        <f t="shared" si="9"/>
        <v/>
      </c>
      <c r="M33" s="118" t="str">
        <f t="shared" si="10"/>
        <v/>
      </c>
      <c r="N33" s="119" t="str">
        <f t="shared" si="4"/>
        <v/>
      </c>
      <c r="O33" s="119" t="str">
        <f t="shared" si="11"/>
        <v/>
      </c>
      <c r="P33" s="113" t="str">
        <f t="shared" si="5"/>
        <v/>
      </c>
      <c r="Q33" s="84"/>
      <c r="R33" s="66"/>
      <c r="S33" s="67"/>
      <c r="T33" s="67"/>
      <c r="U33" s="67"/>
      <c r="V33" s="67"/>
      <c r="W33" s="67"/>
      <c r="X33" s="68"/>
      <c r="Y33" s="66"/>
      <c r="Z33" s="67"/>
      <c r="AA33" s="67"/>
      <c r="AB33" s="67"/>
      <c r="AC33" s="67"/>
      <c r="AD33" s="67"/>
      <c r="AE33" s="68"/>
      <c r="AF33" s="84"/>
      <c r="AG33" s="84"/>
      <c r="AH33" s="84"/>
      <c r="AI33" s="84"/>
      <c r="AJ33" s="84"/>
      <c r="AK33" s="84"/>
      <c r="AL33" s="84"/>
      <c r="AM33" s="84"/>
      <c r="AN33" s="84"/>
      <c r="AO33" s="84"/>
      <c r="AP33" s="84"/>
      <c r="AQ33" s="84"/>
      <c r="AR33" s="84"/>
      <c r="AS33" s="84"/>
      <c r="AT33" s="84"/>
      <c r="AU33" s="84"/>
      <c r="AV33" s="84"/>
      <c r="AW33" s="84"/>
      <c r="AX33" s="84"/>
      <c r="AY33" s="84"/>
      <c r="AZ33" s="84"/>
      <c r="BA33" s="84"/>
      <c r="BB33" s="84"/>
      <c r="BC33" s="84"/>
      <c r="BD33" s="84"/>
      <c r="BE33" s="84"/>
      <c r="BF33" s="84"/>
      <c r="BG33" s="84"/>
      <c r="BH33" s="84"/>
      <c r="BI33" s="84"/>
      <c r="BJ33" s="84"/>
      <c r="BK33" s="84"/>
      <c r="BL33" s="84"/>
      <c r="BM33" s="84"/>
      <c r="BN33" s="84"/>
      <c r="BO33" s="84"/>
    </row>
    <row r="34" spans="1:67" ht="15.75" thickBot="1">
      <c r="A34" s="2"/>
      <c r="B34" s="23"/>
      <c r="C34" s="23"/>
      <c r="D34" s="123" t="str">
        <f t="shared" si="0"/>
        <v/>
      </c>
      <c r="E34" s="132" t="str">
        <f t="shared" si="6"/>
        <v/>
      </c>
      <c r="F34" s="124" t="str">
        <f t="shared" si="7"/>
        <v/>
      </c>
      <c r="G34" s="110" t="str">
        <f t="shared" si="1"/>
        <v/>
      </c>
      <c r="H34" s="110" t="str">
        <f t="shared" si="8"/>
        <v/>
      </c>
      <c r="I34" s="32" t="str">
        <f t="shared" si="2"/>
        <v/>
      </c>
      <c r="J34" s="84"/>
      <c r="K34" s="120" t="str">
        <f t="shared" si="3"/>
        <v/>
      </c>
      <c r="L34" s="117" t="str">
        <f t="shared" si="9"/>
        <v/>
      </c>
      <c r="M34" s="118" t="str">
        <f t="shared" si="10"/>
        <v/>
      </c>
      <c r="N34" s="119" t="str">
        <f t="shared" si="4"/>
        <v/>
      </c>
      <c r="O34" s="119" t="str">
        <f t="shared" si="11"/>
        <v/>
      </c>
      <c r="P34" s="113" t="str">
        <f t="shared" si="5"/>
        <v/>
      </c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</row>
    <row r="35" spans="1:67" ht="15.75" thickBot="1">
      <c r="A35" s="2"/>
      <c r="B35" s="23"/>
      <c r="C35" s="23"/>
      <c r="D35" s="123" t="str">
        <f t="shared" si="0"/>
        <v/>
      </c>
      <c r="E35" s="132" t="str">
        <f t="shared" si="6"/>
        <v/>
      </c>
      <c r="F35" s="124" t="str">
        <f t="shared" si="7"/>
        <v/>
      </c>
      <c r="G35" s="110" t="str">
        <f t="shared" si="1"/>
        <v/>
      </c>
      <c r="H35" s="110" t="str">
        <f t="shared" si="8"/>
        <v/>
      </c>
      <c r="I35" s="32" t="str">
        <f t="shared" si="2"/>
        <v/>
      </c>
      <c r="J35" s="84"/>
      <c r="K35" s="120" t="str">
        <f t="shared" si="3"/>
        <v/>
      </c>
      <c r="L35" s="117" t="str">
        <f t="shared" si="9"/>
        <v/>
      </c>
      <c r="M35" s="118" t="str">
        <f t="shared" si="10"/>
        <v/>
      </c>
      <c r="N35" s="119" t="str">
        <f t="shared" si="4"/>
        <v/>
      </c>
      <c r="O35" s="119" t="str">
        <f t="shared" si="11"/>
        <v/>
      </c>
      <c r="P35" s="113" t="str">
        <f t="shared" si="5"/>
        <v/>
      </c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  <c r="AN35" s="84"/>
      <c r="AO35" s="84"/>
      <c r="AP35" s="84"/>
      <c r="AQ35" s="84"/>
      <c r="AR35" s="84"/>
      <c r="AS35" s="84"/>
      <c r="AT35" s="84"/>
      <c r="AU35" s="84"/>
      <c r="AV35" s="84"/>
      <c r="AW35" s="84"/>
      <c r="AX35" s="84"/>
      <c r="AY35" s="84"/>
      <c r="AZ35" s="84"/>
      <c r="BA35" s="84"/>
      <c r="BB35" s="84"/>
      <c r="BC35" s="84"/>
      <c r="BD35" s="84"/>
      <c r="BE35" s="84"/>
      <c r="BF35" s="84"/>
      <c r="BG35" s="84"/>
      <c r="BH35" s="84"/>
      <c r="BI35" s="84"/>
      <c r="BJ35" s="84"/>
      <c r="BK35" s="84"/>
      <c r="BL35" s="84"/>
      <c r="BM35" s="84"/>
      <c r="BN35" s="84"/>
      <c r="BO35" s="84"/>
    </row>
    <row r="36" spans="1:67" ht="15.75" thickBot="1">
      <c r="A36" s="2"/>
      <c r="B36" s="23"/>
      <c r="C36" s="23"/>
      <c r="D36" s="123" t="str">
        <f t="shared" si="0"/>
        <v/>
      </c>
      <c r="E36" s="132" t="str">
        <f t="shared" si="6"/>
        <v/>
      </c>
      <c r="F36" s="124" t="str">
        <f t="shared" si="7"/>
        <v/>
      </c>
      <c r="G36" s="110" t="str">
        <f t="shared" si="1"/>
        <v/>
      </c>
      <c r="H36" s="110" t="str">
        <f t="shared" si="8"/>
        <v/>
      </c>
      <c r="I36" s="32" t="str">
        <f t="shared" si="2"/>
        <v/>
      </c>
      <c r="J36" s="84"/>
      <c r="K36" s="120" t="str">
        <f t="shared" si="3"/>
        <v/>
      </c>
      <c r="L36" s="117" t="str">
        <f t="shared" si="9"/>
        <v/>
      </c>
      <c r="M36" s="118" t="str">
        <f t="shared" si="10"/>
        <v/>
      </c>
      <c r="N36" s="119" t="str">
        <f t="shared" si="4"/>
        <v/>
      </c>
      <c r="O36" s="119" t="str">
        <f t="shared" si="11"/>
        <v/>
      </c>
      <c r="P36" s="113" t="str">
        <f t="shared" si="5"/>
        <v/>
      </c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84"/>
      <c r="AP36" s="84"/>
      <c r="AQ36" s="84"/>
      <c r="AR36" s="84"/>
      <c r="AS36" s="84"/>
      <c r="AT36" s="84"/>
      <c r="AU36" s="84"/>
      <c r="AV36" s="84"/>
      <c r="AW36" s="84"/>
      <c r="AX36" s="84"/>
      <c r="AY36" s="84"/>
      <c r="AZ36" s="84"/>
      <c r="BA36" s="84"/>
      <c r="BB36" s="84"/>
      <c r="BC36" s="84"/>
      <c r="BD36" s="84"/>
      <c r="BE36" s="84"/>
      <c r="BF36" s="84"/>
      <c r="BG36" s="84"/>
      <c r="BH36" s="84"/>
      <c r="BI36" s="84"/>
      <c r="BJ36" s="84"/>
      <c r="BK36" s="84"/>
      <c r="BL36" s="84"/>
      <c r="BM36" s="84"/>
      <c r="BN36" s="84"/>
      <c r="BO36" s="84"/>
    </row>
    <row r="37" spans="1:67" ht="15.75" thickBot="1">
      <c r="A37" s="2"/>
      <c r="B37" s="23"/>
      <c r="C37" s="23"/>
      <c r="D37" s="123" t="str">
        <f t="shared" si="0"/>
        <v/>
      </c>
      <c r="E37" s="132" t="str">
        <f t="shared" si="6"/>
        <v/>
      </c>
      <c r="F37" s="124" t="str">
        <f t="shared" si="7"/>
        <v/>
      </c>
      <c r="G37" s="110" t="str">
        <f t="shared" si="1"/>
        <v/>
      </c>
      <c r="H37" s="110" t="str">
        <f t="shared" si="8"/>
        <v/>
      </c>
      <c r="I37" s="32" t="str">
        <f t="shared" si="2"/>
        <v/>
      </c>
      <c r="J37" s="84"/>
      <c r="K37" s="120" t="str">
        <f t="shared" si="3"/>
        <v/>
      </c>
      <c r="L37" s="117" t="str">
        <f t="shared" si="9"/>
        <v/>
      </c>
      <c r="M37" s="118" t="str">
        <f t="shared" si="10"/>
        <v/>
      </c>
      <c r="N37" s="119" t="str">
        <f t="shared" si="4"/>
        <v/>
      </c>
      <c r="O37" s="119" t="str">
        <f t="shared" si="11"/>
        <v/>
      </c>
      <c r="P37" s="113" t="str">
        <f t="shared" si="5"/>
        <v/>
      </c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84"/>
      <c r="AN37" s="84"/>
      <c r="AO37" s="84"/>
      <c r="AP37" s="84"/>
      <c r="AQ37" s="84"/>
      <c r="AR37" s="84"/>
      <c r="AS37" s="84"/>
      <c r="AT37" s="84"/>
      <c r="AU37" s="84"/>
      <c r="AV37" s="84"/>
      <c r="AW37" s="84"/>
      <c r="AX37" s="84"/>
      <c r="AY37" s="84"/>
      <c r="AZ37" s="84"/>
      <c r="BA37" s="84"/>
      <c r="BB37" s="84"/>
      <c r="BC37" s="84"/>
      <c r="BD37" s="84"/>
      <c r="BE37" s="84"/>
      <c r="BF37" s="84"/>
      <c r="BG37" s="84"/>
      <c r="BH37" s="84"/>
      <c r="BI37" s="84"/>
      <c r="BJ37" s="84"/>
      <c r="BK37" s="84"/>
      <c r="BL37" s="84"/>
      <c r="BM37" s="84"/>
      <c r="BN37" s="84"/>
      <c r="BO37" s="84"/>
    </row>
    <row r="38" spans="1:67" ht="15.75" thickBot="1">
      <c r="A38" s="2"/>
      <c r="B38" s="23"/>
      <c r="C38" s="23"/>
      <c r="D38" s="123" t="str">
        <f t="shared" si="0"/>
        <v/>
      </c>
      <c r="E38" s="132" t="str">
        <f t="shared" si="6"/>
        <v/>
      </c>
      <c r="F38" s="124" t="str">
        <f t="shared" si="7"/>
        <v/>
      </c>
      <c r="G38" s="110" t="str">
        <f t="shared" si="1"/>
        <v/>
      </c>
      <c r="H38" s="110" t="str">
        <f t="shared" si="8"/>
        <v/>
      </c>
      <c r="I38" s="32" t="str">
        <f t="shared" si="2"/>
        <v/>
      </c>
      <c r="J38" s="84"/>
      <c r="K38" s="120" t="str">
        <f t="shared" si="3"/>
        <v/>
      </c>
      <c r="L38" s="117" t="str">
        <f t="shared" si="9"/>
        <v/>
      </c>
      <c r="M38" s="118" t="str">
        <f t="shared" si="10"/>
        <v/>
      </c>
      <c r="N38" s="119" t="str">
        <f t="shared" si="4"/>
        <v/>
      </c>
      <c r="O38" s="119" t="str">
        <f t="shared" si="11"/>
        <v/>
      </c>
      <c r="P38" s="113" t="str">
        <f t="shared" si="5"/>
        <v/>
      </c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  <c r="AO38" s="84"/>
      <c r="AP38" s="84"/>
      <c r="AQ38" s="84"/>
      <c r="AR38" s="84"/>
      <c r="AS38" s="84"/>
      <c r="AT38" s="84"/>
      <c r="AU38" s="84"/>
      <c r="AV38" s="84"/>
      <c r="AW38" s="84"/>
      <c r="AX38" s="84"/>
      <c r="AY38" s="84"/>
      <c r="AZ38" s="84"/>
      <c r="BA38" s="84"/>
      <c r="BB38" s="84"/>
      <c r="BC38" s="84"/>
      <c r="BD38" s="84"/>
      <c r="BE38" s="84"/>
      <c r="BF38" s="84"/>
      <c r="BG38" s="84"/>
      <c r="BH38" s="84"/>
      <c r="BI38" s="84"/>
      <c r="BJ38" s="84"/>
      <c r="BK38" s="84"/>
      <c r="BL38" s="84"/>
      <c r="BM38" s="84"/>
      <c r="BN38" s="84"/>
      <c r="BO38" s="84"/>
    </row>
    <row r="39" spans="1:67" ht="15.75" thickBot="1">
      <c r="A39" s="2"/>
      <c r="B39" s="23"/>
      <c r="C39" s="23"/>
      <c r="D39" s="123" t="str">
        <f t="shared" si="0"/>
        <v/>
      </c>
      <c r="E39" s="132" t="str">
        <f t="shared" si="6"/>
        <v/>
      </c>
      <c r="F39" s="124" t="str">
        <f t="shared" si="7"/>
        <v/>
      </c>
      <c r="G39" s="110" t="str">
        <f t="shared" si="1"/>
        <v/>
      </c>
      <c r="H39" s="110" t="str">
        <f t="shared" si="8"/>
        <v/>
      </c>
      <c r="I39" s="32" t="str">
        <f t="shared" si="2"/>
        <v/>
      </c>
      <c r="J39" s="84"/>
      <c r="K39" s="120" t="str">
        <f t="shared" si="3"/>
        <v/>
      </c>
      <c r="L39" s="117" t="str">
        <f t="shared" si="9"/>
        <v/>
      </c>
      <c r="M39" s="118" t="str">
        <f t="shared" si="10"/>
        <v/>
      </c>
      <c r="N39" s="119" t="str">
        <f t="shared" si="4"/>
        <v/>
      </c>
      <c r="O39" s="119" t="str">
        <f t="shared" si="11"/>
        <v/>
      </c>
      <c r="P39" s="113" t="str">
        <f t="shared" si="5"/>
        <v/>
      </c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4"/>
      <c r="AW39" s="84"/>
      <c r="AX39" s="84"/>
      <c r="AY39" s="84"/>
      <c r="AZ39" s="84"/>
      <c r="BA39" s="84"/>
      <c r="BB39" s="84"/>
      <c r="BC39" s="84"/>
      <c r="BD39" s="84"/>
      <c r="BE39" s="84"/>
      <c r="BF39" s="84"/>
      <c r="BG39" s="84"/>
      <c r="BH39" s="84"/>
      <c r="BI39" s="84"/>
      <c r="BJ39" s="84"/>
      <c r="BK39" s="84"/>
      <c r="BL39" s="84"/>
      <c r="BM39" s="84"/>
      <c r="BN39" s="84"/>
      <c r="BO39" s="84"/>
    </row>
    <row r="40" spans="1:67" ht="15.75" thickBot="1">
      <c r="A40" s="2"/>
      <c r="B40" s="23"/>
      <c r="C40" s="23"/>
      <c r="D40" s="123" t="str">
        <f t="shared" ref="D40:D71" si="12">IF(C40&gt;0,SQRT((F40*(1-F40/C40))),"")</f>
        <v/>
      </c>
      <c r="E40" s="132" t="str">
        <f t="shared" si="6"/>
        <v/>
      </c>
      <c r="F40" s="124" t="str">
        <f t="shared" si="7"/>
        <v/>
      </c>
      <c r="G40" s="110" t="str">
        <f t="shared" ref="G40:G71" si="13">IF(C40&gt;0,F40+D40*3,"")</f>
        <v/>
      </c>
      <c r="H40" s="110" t="str">
        <f t="shared" si="8"/>
        <v/>
      </c>
      <c r="I40" s="32" t="str">
        <f t="shared" ref="I40:I71" si="14">IF(C40&gt;0,F40-D40*3,"")</f>
        <v/>
      </c>
      <c r="J40" s="84"/>
      <c r="K40" s="120" t="str">
        <f t="shared" ref="K40:K71" si="15">IF(C40&gt;0,SQRT((M40*(1-M40))/($M$2)),"")</f>
        <v/>
      </c>
      <c r="L40" s="117" t="str">
        <f t="shared" si="9"/>
        <v/>
      </c>
      <c r="M40" s="118" t="str">
        <f t="shared" si="10"/>
        <v/>
      </c>
      <c r="N40" s="119" t="str">
        <f t="shared" ref="N40:N71" si="16">IF(C40&gt;0,M40+K40*3,"")</f>
        <v/>
      </c>
      <c r="O40" s="119" t="str">
        <f t="shared" si="11"/>
        <v/>
      </c>
      <c r="P40" s="113" t="str">
        <f t="shared" ref="P40:P71" si="17">IF(C40&gt;0,M40-K40*3,"")</f>
        <v/>
      </c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4"/>
      <c r="AS40" s="84"/>
      <c r="AT40" s="84"/>
      <c r="AU40" s="84"/>
      <c r="AV40" s="84"/>
      <c r="AW40" s="84"/>
      <c r="AX40" s="84"/>
      <c r="AY40" s="84"/>
      <c r="AZ40" s="84"/>
      <c r="BA40" s="84"/>
      <c r="BB40" s="84"/>
      <c r="BC40" s="84"/>
      <c r="BD40" s="84"/>
      <c r="BE40" s="84"/>
      <c r="BF40" s="84"/>
      <c r="BG40" s="84"/>
      <c r="BH40" s="84"/>
      <c r="BI40" s="84"/>
      <c r="BJ40" s="84"/>
      <c r="BK40" s="84"/>
      <c r="BL40" s="84"/>
      <c r="BM40" s="84"/>
      <c r="BN40" s="84"/>
      <c r="BO40" s="84"/>
    </row>
    <row r="41" spans="1:67" ht="15.75" thickBot="1">
      <c r="A41" s="2"/>
      <c r="B41" s="23"/>
      <c r="C41" s="23"/>
      <c r="D41" s="123" t="str">
        <f t="shared" si="12"/>
        <v/>
      </c>
      <c r="E41" s="132" t="str">
        <f t="shared" si="6"/>
        <v/>
      </c>
      <c r="F41" s="124" t="str">
        <f t="shared" si="7"/>
        <v/>
      </c>
      <c r="G41" s="110" t="str">
        <f t="shared" si="13"/>
        <v/>
      </c>
      <c r="H41" s="110" t="str">
        <f t="shared" si="8"/>
        <v/>
      </c>
      <c r="I41" s="32" t="str">
        <f t="shared" si="14"/>
        <v/>
      </c>
      <c r="J41" s="84"/>
      <c r="K41" s="120" t="str">
        <f t="shared" si="15"/>
        <v/>
      </c>
      <c r="L41" s="117" t="str">
        <f t="shared" si="9"/>
        <v/>
      </c>
      <c r="M41" s="118" t="str">
        <f t="shared" si="10"/>
        <v/>
      </c>
      <c r="N41" s="119" t="str">
        <f t="shared" si="16"/>
        <v/>
      </c>
      <c r="O41" s="119" t="str">
        <f t="shared" si="11"/>
        <v/>
      </c>
      <c r="P41" s="113" t="str">
        <f t="shared" si="17"/>
        <v/>
      </c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84"/>
      <c r="AW41" s="84"/>
      <c r="AX41" s="84"/>
      <c r="AY41" s="84"/>
      <c r="AZ41" s="84"/>
      <c r="BA41" s="84"/>
      <c r="BB41" s="84"/>
      <c r="BC41" s="84"/>
      <c r="BD41" s="84"/>
      <c r="BE41" s="84"/>
      <c r="BF41" s="84"/>
      <c r="BG41" s="84"/>
      <c r="BH41" s="84"/>
      <c r="BI41" s="84"/>
      <c r="BJ41" s="84"/>
      <c r="BK41" s="84"/>
      <c r="BL41" s="84"/>
      <c r="BM41" s="84"/>
      <c r="BN41" s="84"/>
      <c r="BO41" s="84"/>
    </row>
    <row r="42" spans="1:67" ht="15.75" thickBot="1">
      <c r="A42" s="2"/>
      <c r="B42" s="23"/>
      <c r="C42" s="23"/>
      <c r="D42" s="123" t="str">
        <f t="shared" si="12"/>
        <v/>
      </c>
      <c r="E42" s="132" t="str">
        <f t="shared" si="6"/>
        <v/>
      </c>
      <c r="F42" s="124" t="str">
        <f t="shared" si="7"/>
        <v/>
      </c>
      <c r="G42" s="110" t="str">
        <f t="shared" si="13"/>
        <v/>
      </c>
      <c r="H42" s="110" t="str">
        <f t="shared" si="8"/>
        <v/>
      </c>
      <c r="I42" s="32" t="str">
        <f t="shared" si="14"/>
        <v/>
      </c>
      <c r="J42" s="84"/>
      <c r="K42" s="120" t="str">
        <f t="shared" si="15"/>
        <v/>
      </c>
      <c r="L42" s="117" t="str">
        <f t="shared" si="9"/>
        <v/>
      </c>
      <c r="M42" s="118" t="str">
        <f t="shared" si="10"/>
        <v/>
      </c>
      <c r="N42" s="119" t="str">
        <f t="shared" si="16"/>
        <v/>
      </c>
      <c r="O42" s="119" t="str">
        <f t="shared" si="11"/>
        <v/>
      </c>
      <c r="P42" s="113" t="str">
        <f t="shared" si="17"/>
        <v/>
      </c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4"/>
      <c r="AS42" s="84"/>
      <c r="AT42" s="84"/>
      <c r="AU42" s="84"/>
      <c r="AV42" s="84"/>
      <c r="AW42" s="84"/>
      <c r="AX42" s="84"/>
      <c r="AY42" s="84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84"/>
      <c r="BL42" s="84"/>
      <c r="BM42" s="84"/>
      <c r="BN42" s="84"/>
      <c r="BO42" s="84"/>
    </row>
    <row r="43" spans="1:67" ht="15.75" thickBot="1">
      <c r="A43" s="2"/>
      <c r="B43" s="23"/>
      <c r="C43" s="23"/>
      <c r="D43" s="123" t="str">
        <f t="shared" si="12"/>
        <v/>
      </c>
      <c r="E43" s="132" t="str">
        <f t="shared" si="6"/>
        <v/>
      </c>
      <c r="F43" s="124" t="str">
        <f t="shared" si="7"/>
        <v/>
      </c>
      <c r="G43" s="110" t="str">
        <f t="shared" si="13"/>
        <v/>
      </c>
      <c r="H43" s="110" t="str">
        <f t="shared" si="8"/>
        <v/>
      </c>
      <c r="I43" s="32" t="str">
        <f t="shared" si="14"/>
        <v/>
      </c>
      <c r="J43" s="84"/>
      <c r="K43" s="120" t="str">
        <f t="shared" si="15"/>
        <v/>
      </c>
      <c r="L43" s="117" t="str">
        <f t="shared" si="9"/>
        <v/>
      </c>
      <c r="M43" s="118" t="str">
        <f t="shared" si="10"/>
        <v/>
      </c>
      <c r="N43" s="119" t="str">
        <f t="shared" si="16"/>
        <v/>
      </c>
      <c r="O43" s="119" t="str">
        <f t="shared" si="11"/>
        <v/>
      </c>
      <c r="P43" s="113" t="str">
        <f t="shared" si="17"/>
        <v/>
      </c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4"/>
      <c r="AS43" s="84"/>
      <c r="AT43" s="84"/>
      <c r="AU43" s="84"/>
      <c r="AV43" s="84"/>
      <c r="AW43" s="84"/>
      <c r="AX43" s="84"/>
      <c r="AY43" s="84"/>
      <c r="AZ43" s="84"/>
      <c r="BA43" s="84"/>
      <c r="BB43" s="84"/>
      <c r="BC43" s="84"/>
      <c r="BD43" s="84"/>
      <c r="BE43" s="84"/>
      <c r="BF43" s="84"/>
      <c r="BG43" s="84"/>
      <c r="BH43" s="84"/>
      <c r="BI43" s="84"/>
      <c r="BJ43" s="84"/>
      <c r="BK43" s="84"/>
      <c r="BL43" s="84"/>
      <c r="BM43" s="84"/>
      <c r="BN43" s="84"/>
      <c r="BO43" s="84"/>
    </row>
    <row r="44" spans="1:67" ht="15.75" thickBot="1">
      <c r="A44" s="2"/>
      <c r="B44" s="23"/>
      <c r="C44" s="23"/>
      <c r="D44" s="123" t="str">
        <f t="shared" si="12"/>
        <v/>
      </c>
      <c r="E44" s="132" t="str">
        <f t="shared" si="6"/>
        <v/>
      </c>
      <c r="F44" s="124" t="str">
        <f t="shared" si="7"/>
        <v/>
      </c>
      <c r="G44" s="110" t="str">
        <f t="shared" si="13"/>
        <v/>
      </c>
      <c r="H44" s="110" t="str">
        <f t="shared" si="8"/>
        <v/>
      </c>
      <c r="I44" s="32" t="str">
        <f t="shared" si="14"/>
        <v/>
      </c>
      <c r="J44" s="84"/>
      <c r="K44" s="120" t="str">
        <f t="shared" si="15"/>
        <v/>
      </c>
      <c r="L44" s="117" t="str">
        <f t="shared" si="9"/>
        <v/>
      </c>
      <c r="M44" s="118" t="str">
        <f t="shared" si="10"/>
        <v/>
      </c>
      <c r="N44" s="119" t="str">
        <f t="shared" si="16"/>
        <v/>
      </c>
      <c r="O44" s="119" t="str">
        <f t="shared" si="11"/>
        <v/>
      </c>
      <c r="P44" s="113" t="str">
        <f t="shared" si="17"/>
        <v/>
      </c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4"/>
      <c r="AS44" s="84"/>
      <c r="AT44" s="84"/>
      <c r="AU44" s="84"/>
      <c r="AV44" s="84"/>
      <c r="AW44" s="84"/>
      <c r="AX44" s="84"/>
      <c r="AY44" s="84"/>
      <c r="AZ44" s="84"/>
      <c r="BA44" s="84"/>
      <c r="BB44" s="84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  <c r="BN44" s="84"/>
      <c r="BO44" s="84"/>
    </row>
    <row r="45" spans="1:67" ht="15.75" thickBot="1">
      <c r="A45" s="2"/>
      <c r="B45" s="23"/>
      <c r="C45" s="23"/>
      <c r="D45" s="123" t="str">
        <f t="shared" si="12"/>
        <v/>
      </c>
      <c r="E45" s="132" t="str">
        <f t="shared" si="6"/>
        <v/>
      </c>
      <c r="F45" s="124" t="str">
        <f t="shared" si="7"/>
        <v/>
      </c>
      <c r="G45" s="110" t="str">
        <f t="shared" si="13"/>
        <v/>
      </c>
      <c r="H45" s="110" t="str">
        <f t="shared" si="8"/>
        <v/>
      </c>
      <c r="I45" s="32" t="str">
        <f t="shared" si="14"/>
        <v/>
      </c>
      <c r="J45" s="84"/>
      <c r="K45" s="120" t="str">
        <f t="shared" si="15"/>
        <v/>
      </c>
      <c r="L45" s="117" t="str">
        <f t="shared" si="9"/>
        <v/>
      </c>
      <c r="M45" s="118" t="str">
        <f t="shared" si="10"/>
        <v/>
      </c>
      <c r="N45" s="119" t="str">
        <f t="shared" si="16"/>
        <v/>
      </c>
      <c r="O45" s="119" t="str">
        <f t="shared" si="11"/>
        <v/>
      </c>
      <c r="P45" s="113" t="str">
        <f t="shared" si="17"/>
        <v/>
      </c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  <c r="AO45" s="84"/>
      <c r="AP45" s="84"/>
      <c r="AQ45" s="84"/>
      <c r="AR45" s="84"/>
      <c r="AS45" s="84"/>
      <c r="AT45" s="84"/>
      <c r="AU45" s="84"/>
      <c r="AV45" s="84"/>
      <c r="AW45" s="84"/>
      <c r="AX45" s="84"/>
      <c r="AY45" s="84"/>
      <c r="AZ45" s="84"/>
      <c r="BA45" s="84"/>
      <c r="BB45" s="84"/>
      <c r="BC45" s="84"/>
      <c r="BD45" s="84"/>
      <c r="BE45" s="84"/>
      <c r="BF45" s="84"/>
      <c r="BG45" s="84"/>
      <c r="BH45" s="84"/>
      <c r="BI45" s="84"/>
      <c r="BJ45" s="84"/>
      <c r="BK45" s="84"/>
      <c r="BL45" s="84"/>
      <c r="BM45" s="84"/>
      <c r="BN45" s="84"/>
      <c r="BO45" s="84"/>
    </row>
    <row r="46" spans="1:67" ht="15.75" thickBot="1">
      <c r="A46" s="2"/>
      <c r="B46" s="23"/>
      <c r="C46" s="23"/>
      <c r="D46" s="123" t="str">
        <f t="shared" si="12"/>
        <v/>
      </c>
      <c r="E46" s="132" t="str">
        <f t="shared" si="6"/>
        <v/>
      </c>
      <c r="F46" s="124" t="str">
        <f t="shared" si="7"/>
        <v/>
      </c>
      <c r="G46" s="110" t="str">
        <f t="shared" si="13"/>
        <v/>
      </c>
      <c r="H46" s="110" t="str">
        <f t="shared" si="8"/>
        <v/>
      </c>
      <c r="I46" s="32" t="str">
        <f t="shared" si="14"/>
        <v/>
      </c>
      <c r="J46" s="84"/>
      <c r="K46" s="120" t="str">
        <f t="shared" si="15"/>
        <v/>
      </c>
      <c r="L46" s="117" t="str">
        <f t="shared" si="9"/>
        <v/>
      </c>
      <c r="M46" s="118" t="str">
        <f t="shared" si="10"/>
        <v/>
      </c>
      <c r="N46" s="119" t="str">
        <f t="shared" si="16"/>
        <v/>
      </c>
      <c r="O46" s="119" t="str">
        <f t="shared" si="11"/>
        <v/>
      </c>
      <c r="P46" s="113" t="str">
        <f t="shared" si="17"/>
        <v/>
      </c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  <c r="AO46" s="84"/>
      <c r="AP46" s="84"/>
      <c r="AQ46" s="84"/>
      <c r="AR46" s="84"/>
      <c r="AS46" s="84"/>
      <c r="AT46" s="84"/>
      <c r="AU46" s="84"/>
      <c r="AV46" s="84"/>
      <c r="AW46" s="84"/>
      <c r="AX46" s="84"/>
      <c r="AY46" s="84"/>
      <c r="AZ46" s="84"/>
      <c r="BA46" s="84"/>
      <c r="BB46" s="84"/>
      <c r="BC46" s="84"/>
      <c r="BD46" s="84"/>
      <c r="BE46" s="84"/>
      <c r="BF46" s="84"/>
      <c r="BG46" s="84"/>
      <c r="BH46" s="84"/>
      <c r="BI46" s="84"/>
      <c r="BJ46" s="84"/>
      <c r="BK46" s="84"/>
      <c r="BL46" s="84"/>
      <c r="BM46" s="84"/>
      <c r="BN46" s="84"/>
      <c r="BO46" s="84"/>
    </row>
    <row r="47" spans="1:67" ht="15.75" thickBot="1">
      <c r="A47" s="2"/>
      <c r="B47" s="23"/>
      <c r="C47" s="23"/>
      <c r="D47" s="123" t="str">
        <f t="shared" si="12"/>
        <v/>
      </c>
      <c r="E47" s="132" t="str">
        <f t="shared" si="6"/>
        <v/>
      </c>
      <c r="F47" s="124" t="str">
        <f t="shared" si="7"/>
        <v/>
      </c>
      <c r="G47" s="110" t="str">
        <f t="shared" si="13"/>
        <v/>
      </c>
      <c r="H47" s="110" t="str">
        <f t="shared" si="8"/>
        <v/>
      </c>
      <c r="I47" s="32" t="str">
        <f t="shared" si="14"/>
        <v/>
      </c>
      <c r="J47" s="84"/>
      <c r="K47" s="120" t="str">
        <f t="shared" si="15"/>
        <v/>
      </c>
      <c r="L47" s="117" t="str">
        <f t="shared" si="9"/>
        <v/>
      </c>
      <c r="M47" s="118" t="str">
        <f t="shared" si="10"/>
        <v/>
      </c>
      <c r="N47" s="119" t="str">
        <f t="shared" si="16"/>
        <v/>
      </c>
      <c r="O47" s="119" t="str">
        <f t="shared" si="11"/>
        <v/>
      </c>
      <c r="P47" s="113" t="str">
        <f t="shared" si="17"/>
        <v/>
      </c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  <c r="AL47" s="84"/>
      <c r="AM47" s="84"/>
      <c r="AN47" s="84"/>
      <c r="AO47" s="84"/>
      <c r="AP47" s="84"/>
      <c r="AQ47" s="84"/>
      <c r="AR47" s="84"/>
      <c r="AS47" s="84"/>
      <c r="AT47" s="84"/>
      <c r="AU47" s="84"/>
      <c r="AV47" s="84"/>
      <c r="AW47" s="84"/>
      <c r="AX47" s="84"/>
      <c r="AY47" s="84"/>
      <c r="AZ47" s="84"/>
      <c r="BA47" s="84"/>
      <c r="BB47" s="84"/>
      <c r="BC47" s="84"/>
      <c r="BD47" s="84"/>
      <c r="BE47" s="84"/>
      <c r="BF47" s="84"/>
      <c r="BG47" s="84"/>
      <c r="BH47" s="84"/>
      <c r="BI47" s="84"/>
      <c r="BJ47" s="84"/>
      <c r="BK47" s="84"/>
      <c r="BL47" s="84"/>
      <c r="BM47" s="84"/>
      <c r="BN47" s="84"/>
      <c r="BO47" s="84"/>
    </row>
    <row r="48" spans="1:67" ht="15.75" thickBot="1">
      <c r="A48" s="2"/>
      <c r="B48" s="23"/>
      <c r="C48" s="23"/>
      <c r="D48" s="123" t="str">
        <f t="shared" si="12"/>
        <v/>
      </c>
      <c r="E48" s="132" t="str">
        <f t="shared" si="6"/>
        <v/>
      </c>
      <c r="F48" s="124" t="str">
        <f t="shared" si="7"/>
        <v/>
      </c>
      <c r="G48" s="110" t="str">
        <f t="shared" si="13"/>
        <v/>
      </c>
      <c r="H48" s="110" t="str">
        <f t="shared" si="8"/>
        <v/>
      </c>
      <c r="I48" s="32" t="str">
        <f t="shared" si="14"/>
        <v/>
      </c>
      <c r="J48" s="84"/>
      <c r="K48" s="120" t="str">
        <f t="shared" si="15"/>
        <v/>
      </c>
      <c r="L48" s="117" t="str">
        <f t="shared" si="9"/>
        <v/>
      </c>
      <c r="M48" s="118" t="str">
        <f t="shared" si="10"/>
        <v/>
      </c>
      <c r="N48" s="119" t="str">
        <f t="shared" si="16"/>
        <v/>
      </c>
      <c r="O48" s="119" t="str">
        <f t="shared" si="11"/>
        <v/>
      </c>
      <c r="P48" s="113" t="str">
        <f t="shared" si="17"/>
        <v/>
      </c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  <c r="AO48" s="84"/>
      <c r="AP48" s="84"/>
      <c r="AQ48" s="84"/>
      <c r="AR48" s="84"/>
      <c r="AS48" s="84"/>
      <c r="AT48" s="84"/>
      <c r="AU48" s="84"/>
      <c r="AV48" s="84"/>
      <c r="AW48" s="84"/>
      <c r="AX48" s="84"/>
      <c r="AY48" s="84"/>
      <c r="AZ48" s="84"/>
      <c r="BA48" s="84"/>
      <c r="BB48" s="84"/>
      <c r="BC48" s="84"/>
      <c r="BD48" s="84"/>
      <c r="BE48" s="84"/>
      <c r="BF48" s="84"/>
      <c r="BG48" s="84"/>
      <c r="BH48" s="84"/>
      <c r="BI48" s="84"/>
      <c r="BJ48" s="84"/>
      <c r="BK48" s="84"/>
      <c r="BL48" s="84"/>
      <c r="BM48" s="84"/>
      <c r="BN48" s="84"/>
      <c r="BO48" s="84"/>
    </row>
    <row r="49" spans="1:67" ht="15.75" thickBot="1">
      <c r="A49" s="2"/>
      <c r="B49" s="23"/>
      <c r="C49" s="23"/>
      <c r="D49" s="123" t="str">
        <f t="shared" si="12"/>
        <v/>
      </c>
      <c r="E49" s="132" t="str">
        <f t="shared" si="6"/>
        <v/>
      </c>
      <c r="F49" s="124" t="str">
        <f t="shared" si="7"/>
        <v/>
      </c>
      <c r="G49" s="110" t="str">
        <f t="shared" si="13"/>
        <v/>
      </c>
      <c r="H49" s="110" t="str">
        <f t="shared" si="8"/>
        <v/>
      </c>
      <c r="I49" s="32" t="str">
        <f t="shared" si="14"/>
        <v/>
      </c>
      <c r="J49" s="84"/>
      <c r="K49" s="120" t="str">
        <f t="shared" si="15"/>
        <v/>
      </c>
      <c r="L49" s="117" t="str">
        <f t="shared" si="9"/>
        <v/>
      </c>
      <c r="M49" s="118" t="str">
        <f t="shared" si="10"/>
        <v/>
      </c>
      <c r="N49" s="119" t="str">
        <f t="shared" si="16"/>
        <v/>
      </c>
      <c r="O49" s="119" t="str">
        <f t="shared" si="11"/>
        <v/>
      </c>
      <c r="P49" s="113" t="str">
        <f t="shared" si="17"/>
        <v/>
      </c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  <c r="AO49" s="84"/>
      <c r="AP49" s="84"/>
      <c r="AQ49" s="84"/>
      <c r="AR49" s="84"/>
      <c r="AS49" s="84"/>
      <c r="AT49" s="84"/>
      <c r="AU49" s="84"/>
      <c r="AV49" s="84"/>
      <c r="AW49" s="84"/>
      <c r="AX49" s="84"/>
      <c r="AY49" s="84"/>
      <c r="AZ49" s="84"/>
      <c r="BA49" s="84"/>
      <c r="BB49" s="84"/>
      <c r="BC49" s="84"/>
      <c r="BD49" s="84"/>
      <c r="BE49" s="84"/>
      <c r="BF49" s="84"/>
      <c r="BG49" s="84"/>
      <c r="BH49" s="84"/>
      <c r="BI49" s="84"/>
      <c r="BJ49" s="84"/>
      <c r="BK49" s="84"/>
      <c r="BL49" s="84"/>
      <c r="BM49" s="84"/>
      <c r="BN49" s="84"/>
      <c r="BO49" s="84"/>
    </row>
    <row r="50" spans="1:67" ht="15.75" thickBot="1">
      <c r="A50" s="2"/>
      <c r="B50" s="23"/>
      <c r="C50" s="23"/>
      <c r="D50" s="123" t="str">
        <f t="shared" si="12"/>
        <v/>
      </c>
      <c r="E50" s="132" t="str">
        <f t="shared" si="6"/>
        <v/>
      </c>
      <c r="F50" s="124" t="str">
        <f t="shared" si="7"/>
        <v/>
      </c>
      <c r="G50" s="110" t="str">
        <f t="shared" si="13"/>
        <v/>
      </c>
      <c r="H50" s="110" t="str">
        <f t="shared" si="8"/>
        <v/>
      </c>
      <c r="I50" s="32" t="str">
        <f t="shared" si="14"/>
        <v/>
      </c>
      <c r="J50" s="84"/>
      <c r="K50" s="120" t="str">
        <f t="shared" si="15"/>
        <v/>
      </c>
      <c r="L50" s="117" t="str">
        <f t="shared" si="9"/>
        <v/>
      </c>
      <c r="M50" s="118" t="str">
        <f t="shared" si="10"/>
        <v/>
      </c>
      <c r="N50" s="119" t="str">
        <f t="shared" si="16"/>
        <v/>
      </c>
      <c r="O50" s="119" t="str">
        <f t="shared" si="11"/>
        <v/>
      </c>
      <c r="P50" s="113" t="str">
        <f t="shared" si="17"/>
        <v/>
      </c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</row>
    <row r="51" spans="1:67" ht="15.75" thickBot="1">
      <c r="A51" s="2"/>
      <c r="B51" s="23"/>
      <c r="C51" s="23"/>
      <c r="D51" s="123" t="str">
        <f t="shared" si="12"/>
        <v/>
      </c>
      <c r="E51" s="132" t="str">
        <f t="shared" si="6"/>
        <v/>
      </c>
      <c r="F51" s="124" t="str">
        <f t="shared" si="7"/>
        <v/>
      </c>
      <c r="G51" s="110" t="str">
        <f t="shared" si="13"/>
        <v/>
      </c>
      <c r="H51" s="110" t="str">
        <f t="shared" si="8"/>
        <v/>
      </c>
      <c r="I51" s="32" t="str">
        <f t="shared" si="14"/>
        <v/>
      </c>
      <c r="J51" s="84"/>
      <c r="K51" s="120" t="str">
        <f t="shared" si="15"/>
        <v/>
      </c>
      <c r="L51" s="117" t="str">
        <f t="shared" si="9"/>
        <v/>
      </c>
      <c r="M51" s="118" t="str">
        <f t="shared" si="10"/>
        <v/>
      </c>
      <c r="N51" s="119" t="str">
        <f t="shared" si="16"/>
        <v/>
      </c>
      <c r="O51" s="119" t="str">
        <f t="shared" si="11"/>
        <v/>
      </c>
      <c r="P51" s="113" t="str">
        <f t="shared" si="17"/>
        <v/>
      </c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4"/>
      <c r="AS51" s="84"/>
      <c r="AT51" s="84"/>
      <c r="AU51" s="84"/>
      <c r="AV51" s="84"/>
      <c r="AW51" s="84"/>
      <c r="AX51" s="84"/>
      <c r="AY51" s="84"/>
      <c r="AZ51" s="84"/>
      <c r="BA51" s="84"/>
      <c r="BB51" s="84"/>
      <c r="BC51" s="84"/>
      <c r="BD51" s="84"/>
      <c r="BE51" s="84"/>
      <c r="BF51" s="84"/>
      <c r="BG51" s="84"/>
      <c r="BH51" s="84"/>
      <c r="BI51" s="84"/>
      <c r="BJ51" s="84"/>
      <c r="BK51" s="84"/>
      <c r="BL51" s="84"/>
      <c r="BM51" s="84"/>
      <c r="BN51" s="84"/>
      <c r="BO51" s="84"/>
    </row>
    <row r="52" spans="1:67" ht="15.75" thickBot="1">
      <c r="A52" s="2"/>
      <c r="B52" s="23"/>
      <c r="C52" s="23"/>
      <c r="D52" s="123" t="str">
        <f t="shared" si="12"/>
        <v/>
      </c>
      <c r="E52" s="132" t="str">
        <f t="shared" si="6"/>
        <v/>
      </c>
      <c r="F52" s="124" t="str">
        <f t="shared" si="7"/>
        <v/>
      </c>
      <c r="G52" s="110" t="str">
        <f t="shared" si="13"/>
        <v/>
      </c>
      <c r="H52" s="110" t="str">
        <f t="shared" si="8"/>
        <v/>
      </c>
      <c r="I52" s="32" t="str">
        <f t="shared" si="14"/>
        <v/>
      </c>
      <c r="J52" s="84"/>
      <c r="K52" s="120" t="str">
        <f t="shared" si="15"/>
        <v/>
      </c>
      <c r="L52" s="117" t="str">
        <f t="shared" si="9"/>
        <v/>
      </c>
      <c r="M52" s="118" t="str">
        <f t="shared" si="10"/>
        <v/>
      </c>
      <c r="N52" s="119" t="str">
        <f t="shared" si="16"/>
        <v/>
      </c>
      <c r="O52" s="119" t="str">
        <f t="shared" si="11"/>
        <v/>
      </c>
      <c r="P52" s="113" t="str">
        <f t="shared" si="17"/>
        <v/>
      </c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4"/>
      <c r="AS52" s="84"/>
      <c r="AT52" s="84"/>
      <c r="AU52" s="84"/>
      <c r="AV52" s="84"/>
      <c r="AW52" s="84"/>
      <c r="AX52" s="84"/>
      <c r="AY52" s="84"/>
      <c r="AZ52" s="84"/>
      <c r="BA52" s="84"/>
      <c r="BB52" s="84"/>
      <c r="BC52" s="84"/>
      <c r="BD52" s="84"/>
      <c r="BE52" s="84"/>
      <c r="BF52" s="84"/>
      <c r="BG52" s="84"/>
      <c r="BH52" s="84"/>
      <c r="BI52" s="84"/>
      <c r="BJ52" s="84"/>
      <c r="BK52" s="84"/>
      <c r="BL52" s="84"/>
      <c r="BM52" s="84"/>
      <c r="BN52" s="84"/>
      <c r="BO52" s="84"/>
    </row>
    <row r="53" spans="1:67" ht="15.75" thickBot="1">
      <c r="A53" s="2"/>
      <c r="B53" s="23"/>
      <c r="C53" s="23"/>
      <c r="D53" s="123" t="str">
        <f t="shared" si="12"/>
        <v/>
      </c>
      <c r="E53" s="132" t="str">
        <f t="shared" si="6"/>
        <v/>
      </c>
      <c r="F53" s="124" t="str">
        <f t="shared" si="7"/>
        <v/>
      </c>
      <c r="G53" s="110" t="str">
        <f t="shared" si="13"/>
        <v/>
      </c>
      <c r="H53" s="110" t="str">
        <f t="shared" si="8"/>
        <v/>
      </c>
      <c r="I53" s="32" t="str">
        <f t="shared" si="14"/>
        <v/>
      </c>
      <c r="J53" s="84"/>
      <c r="K53" s="120" t="str">
        <f t="shared" si="15"/>
        <v/>
      </c>
      <c r="L53" s="117" t="str">
        <f t="shared" si="9"/>
        <v/>
      </c>
      <c r="M53" s="118" t="str">
        <f t="shared" si="10"/>
        <v/>
      </c>
      <c r="N53" s="119" t="str">
        <f t="shared" si="16"/>
        <v/>
      </c>
      <c r="O53" s="119" t="str">
        <f t="shared" si="11"/>
        <v/>
      </c>
      <c r="P53" s="113" t="str">
        <f t="shared" si="17"/>
        <v/>
      </c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  <c r="AM53" s="84"/>
      <c r="AN53" s="84"/>
      <c r="AO53" s="84"/>
      <c r="AP53" s="84"/>
      <c r="AQ53" s="84"/>
      <c r="AR53" s="84"/>
      <c r="AS53" s="84"/>
      <c r="AT53" s="84"/>
      <c r="AU53" s="84"/>
      <c r="AV53" s="84"/>
      <c r="AW53" s="84"/>
      <c r="AX53" s="84"/>
      <c r="AY53" s="84"/>
      <c r="AZ53" s="84"/>
      <c r="BA53" s="84"/>
      <c r="BB53" s="84"/>
      <c r="BC53" s="84"/>
      <c r="BD53" s="84"/>
      <c r="BE53" s="84"/>
      <c r="BF53" s="84"/>
      <c r="BG53" s="84"/>
      <c r="BH53" s="84"/>
      <c r="BI53" s="84"/>
      <c r="BJ53" s="84"/>
      <c r="BK53" s="84"/>
      <c r="BL53" s="84"/>
      <c r="BM53" s="84"/>
      <c r="BN53" s="84"/>
      <c r="BO53" s="84"/>
    </row>
    <row r="54" spans="1:67" ht="15.75" thickBot="1">
      <c r="A54" s="2"/>
      <c r="B54" s="23"/>
      <c r="C54" s="23"/>
      <c r="D54" s="123" t="str">
        <f t="shared" si="12"/>
        <v/>
      </c>
      <c r="E54" s="132" t="str">
        <f t="shared" si="6"/>
        <v/>
      </c>
      <c r="F54" s="124" t="str">
        <f t="shared" si="7"/>
        <v/>
      </c>
      <c r="G54" s="110" t="str">
        <f t="shared" si="13"/>
        <v/>
      </c>
      <c r="H54" s="110" t="str">
        <f t="shared" si="8"/>
        <v/>
      </c>
      <c r="I54" s="32" t="str">
        <f t="shared" si="14"/>
        <v/>
      </c>
      <c r="J54" s="84"/>
      <c r="K54" s="120" t="str">
        <f t="shared" si="15"/>
        <v/>
      </c>
      <c r="L54" s="117" t="str">
        <f t="shared" si="9"/>
        <v/>
      </c>
      <c r="M54" s="118" t="str">
        <f t="shared" si="10"/>
        <v/>
      </c>
      <c r="N54" s="119" t="str">
        <f t="shared" si="16"/>
        <v/>
      </c>
      <c r="O54" s="119" t="str">
        <f t="shared" si="11"/>
        <v/>
      </c>
      <c r="P54" s="113" t="str">
        <f t="shared" si="17"/>
        <v/>
      </c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84"/>
      <c r="AN54" s="84"/>
      <c r="AO54" s="84"/>
      <c r="AP54" s="84"/>
      <c r="AQ54" s="84"/>
      <c r="AR54" s="84"/>
      <c r="AS54" s="84"/>
      <c r="AT54" s="84"/>
      <c r="AU54" s="84"/>
      <c r="AV54" s="84"/>
      <c r="AW54" s="84"/>
      <c r="AX54" s="84"/>
      <c r="AY54" s="84"/>
      <c r="AZ54" s="84"/>
      <c r="BA54" s="84"/>
      <c r="BB54" s="84"/>
      <c r="BC54" s="84"/>
      <c r="BD54" s="84"/>
      <c r="BE54" s="84"/>
      <c r="BF54" s="84"/>
      <c r="BG54" s="84"/>
      <c r="BH54" s="84"/>
      <c r="BI54" s="84"/>
      <c r="BJ54" s="84"/>
      <c r="BK54" s="84"/>
      <c r="BL54" s="84"/>
      <c r="BM54" s="84"/>
      <c r="BN54" s="84"/>
      <c r="BO54" s="84"/>
    </row>
    <row r="55" spans="1:67" ht="15.75" thickBot="1">
      <c r="A55" s="2"/>
      <c r="B55" s="23"/>
      <c r="C55" s="23"/>
      <c r="D55" s="123" t="str">
        <f t="shared" si="12"/>
        <v/>
      </c>
      <c r="E55" s="132" t="str">
        <f t="shared" si="6"/>
        <v/>
      </c>
      <c r="F55" s="124" t="str">
        <f t="shared" si="7"/>
        <v/>
      </c>
      <c r="G55" s="110" t="str">
        <f t="shared" si="13"/>
        <v/>
      </c>
      <c r="H55" s="110" t="str">
        <f t="shared" si="8"/>
        <v/>
      </c>
      <c r="I55" s="32" t="str">
        <f t="shared" si="14"/>
        <v/>
      </c>
      <c r="J55" s="84"/>
      <c r="K55" s="120" t="str">
        <f t="shared" si="15"/>
        <v/>
      </c>
      <c r="L55" s="117" t="str">
        <f t="shared" si="9"/>
        <v/>
      </c>
      <c r="M55" s="118" t="str">
        <f t="shared" si="10"/>
        <v/>
      </c>
      <c r="N55" s="119" t="str">
        <f t="shared" si="16"/>
        <v/>
      </c>
      <c r="O55" s="119" t="str">
        <f t="shared" si="11"/>
        <v/>
      </c>
      <c r="P55" s="113" t="str">
        <f t="shared" si="17"/>
        <v/>
      </c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84"/>
      <c r="AN55" s="84"/>
      <c r="AO55" s="84"/>
      <c r="AP55" s="84"/>
      <c r="AQ55" s="84"/>
      <c r="AR55" s="84"/>
      <c r="AS55" s="84"/>
      <c r="AT55" s="84"/>
      <c r="AU55" s="84"/>
      <c r="AV55" s="84"/>
      <c r="AW55" s="84"/>
      <c r="AX55" s="84"/>
      <c r="AY55" s="84"/>
      <c r="AZ55" s="84"/>
      <c r="BA55" s="84"/>
      <c r="BB55" s="84"/>
      <c r="BC55" s="84"/>
      <c r="BD55" s="84"/>
      <c r="BE55" s="84"/>
      <c r="BF55" s="84"/>
      <c r="BG55" s="84"/>
      <c r="BH55" s="84"/>
      <c r="BI55" s="84"/>
      <c r="BJ55" s="84"/>
      <c r="BK55" s="84"/>
      <c r="BL55" s="84"/>
      <c r="BM55" s="84"/>
      <c r="BN55" s="84"/>
      <c r="BO55" s="84"/>
    </row>
    <row r="56" spans="1:67" ht="15.75" thickBot="1">
      <c r="A56" s="2"/>
      <c r="B56" s="23"/>
      <c r="C56" s="23"/>
      <c r="D56" s="123" t="str">
        <f t="shared" si="12"/>
        <v/>
      </c>
      <c r="E56" s="132" t="str">
        <f t="shared" si="6"/>
        <v/>
      </c>
      <c r="F56" s="124" t="str">
        <f t="shared" si="7"/>
        <v/>
      </c>
      <c r="G56" s="110" t="str">
        <f t="shared" si="13"/>
        <v/>
      </c>
      <c r="H56" s="110" t="str">
        <f t="shared" si="8"/>
        <v/>
      </c>
      <c r="I56" s="32" t="str">
        <f t="shared" si="14"/>
        <v/>
      </c>
      <c r="J56" s="84"/>
      <c r="K56" s="120" t="str">
        <f t="shared" si="15"/>
        <v/>
      </c>
      <c r="L56" s="117" t="str">
        <f t="shared" si="9"/>
        <v/>
      </c>
      <c r="M56" s="118" t="str">
        <f t="shared" si="10"/>
        <v/>
      </c>
      <c r="N56" s="119" t="str">
        <f t="shared" si="16"/>
        <v/>
      </c>
      <c r="O56" s="119" t="str">
        <f t="shared" si="11"/>
        <v/>
      </c>
      <c r="P56" s="113" t="str">
        <f t="shared" si="17"/>
        <v/>
      </c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  <c r="AN56" s="84"/>
      <c r="AO56" s="84"/>
      <c r="AP56" s="84"/>
      <c r="AQ56" s="84"/>
      <c r="AR56" s="84"/>
      <c r="AS56" s="84"/>
      <c r="AT56" s="84"/>
      <c r="AU56" s="84"/>
      <c r="AV56" s="84"/>
      <c r="AW56" s="84"/>
      <c r="AX56" s="84"/>
      <c r="AY56" s="84"/>
      <c r="AZ56" s="84"/>
      <c r="BA56" s="84"/>
      <c r="BB56" s="84"/>
      <c r="BC56" s="84"/>
      <c r="BD56" s="84"/>
      <c r="BE56" s="84"/>
      <c r="BF56" s="84"/>
      <c r="BG56" s="84"/>
      <c r="BH56" s="84"/>
      <c r="BI56" s="84"/>
      <c r="BJ56" s="84"/>
      <c r="BK56" s="84"/>
      <c r="BL56" s="84"/>
      <c r="BM56" s="84"/>
      <c r="BN56" s="84"/>
      <c r="BO56" s="84"/>
    </row>
    <row r="57" spans="1:67" ht="15.75" thickBot="1">
      <c r="A57" s="2"/>
      <c r="B57" s="23"/>
      <c r="C57" s="23"/>
      <c r="D57" s="123" t="str">
        <f t="shared" si="12"/>
        <v/>
      </c>
      <c r="E57" s="132" t="str">
        <f t="shared" si="6"/>
        <v/>
      </c>
      <c r="F57" s="124" t="str">
        <f t="shared" si="7"/>
        <v/>
      </c>
      <c r="G57" s="110" t="str">
        <f t="shared" si="13"/>
        <v/>
      </c>
      <c r="H57" s="110" t="str">
        <f t="shared" si="8"/>
        <v/>
      </c>
      <c r="I57" s="32" t="str">
        <f t="shared" si="14"/>
        <v/>
      </c>
      <c r="J57" s="84"/>
      <c r="K57" s="120" t="str">
        <f t="shared" si="15"/>
        <v/>
      </c>
      <c r="L57" s="117" t="str">
        <f t="shared" si="9"/>
        <v/>
      </c>
      <c r="M57" s="118" t="str">
        <f t="shared" si="10"/>
        <v/>
      </c>
      <c r="N57" s="119" t="str">
        <f t="shared" si="16"/>
        <v/>
      </c>
      <c r="O57" s="119" t="str">
        <f t="shared" si="11"/>
        <v/>
      </c>
      <c r="P57" s="113" t="str">
        <f t="shared" si="17"/>
        <v/>
      </c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84"/>
      <c r="AN57" s="84"/>
      <c r="AO57" s="84"/>
      <c r="AP57" s="84"/>
      <c r="AQ57" s="84"/>
      <c r="AR57" s="84"/>
      <c r="AS57" s="84"/>
      <c r="AT57" s="84"/>
      <c r="AU57" s="84"/>
      <c r="AV57" s="84"/>
      <c r="AW57" s="84"/>
      <c r="AX57" s="84"/>
      <c r="AY57" s="84"/>
      <c r="AZ57" s="84"/>
      <c r="BA57" s="84"/>
      <c r="BB57" s="84"/>
      <c r="BC57" s="84"/>
      <c r="BD57" s="84"/>
      <c r="BE57" s="84"/>
      <c r="BF57" s="84"/>
      <c r="BG57" s="84"/>
      <c r="BH57" s="84"/>
      <c r="BI57" s="84"/>
      <c r="BJ57" s="84"/>
      <c r="BK57" s="84"/>
      <c r="BL57" s="84"/>
      <c r="BM57" s="84"/>
      <c r="BN57" s="84"/>
      <c r="BO57" s="84"/>
    </row>
    <row r="58" spans="1:67" ht="15.75" thickBot="1">
      <c r="A58" s="2"/>
      <c r="B58" s="23"/>
      <c r="C58" s="23"/>
      <c r="D58" s="123" t="str">
        <f t="shared" si="12"/>
        <v/>
      </c>
      <c r="E58" s="132" t="str">
        <f t="shared" si="6"/>
        <v/>
      </c>
      <c r="F58" s="124" t="str">
        <f t="shared" si="7"/>
        <v/>
      </c>
      <c r="G58" s="110" t="str">
        <f t="shared" si="13"/>
        <v/>
      </c>
      <c r="H58" s="110" t="str">
        <f t="shared" si="8"/>
        <v/>
      </c>
      <c r="I58" s="32" t="str">
        <f t="shared" si="14"/>
        <v/>
      </c>
      <c r="J58" s="84"/>
      <c r="K58" s="120" t="str">
        <f t="shared" si="15"/>
        <v/>
      </c>
      <c r="L58" s="117" t="str">
        <f t="shared" si="9"/>
        <v/>
      </c>
      <c r="M58" s="118" t="str">
        <f t="shared" si="10"/>
        <v/>
      </c>
      <c r="N58" s="119" t="str">
        <f t="shared" si="16"/>
        <v/>
      </c>
      <c r="O58" s="119" t="str">
        <f t="shared" si="11"/>
        <v/>
      </c>
      <c r="P58" s="113" t="str">
        <f t="shared" si="17"/>
        <v/>
      </c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  <c r="AN58" s="84"/>
      <c r="AO58" s="84"/>
      <c r="AP58" s="84"/>
      <c r="AQ58" s="84"/>
      <c r="AR58" s="84"/>
      <c r="AS58" s="84"/>
      <c r="AT58" s="84"/>
      <c r="AU58" s="84"/>
      <c r="AV58" s="84"/>
      <c r="AW58" s="84"/>
      <c r="AX58" s="84"/>
      <c r="AY58" s="84"/>
      <c r="AZ58" s="84"/>
      <c r="BA58" s="84"/>
      <c r="BB58" s="84"/>
      <c r="BC58" s="84"/>
      <c r="BD58" s="84"/>
      <c r="BE58" s="84"/>
      <c r="BF58" s="84"/>
      <c r="BG58" s="84"/>
      <c r="BH58" s="84"/>
      <c r="BI58" s="84"/>
      <c r="BJ58" s="84"/>
      <c r="BK58" s="84"/>
      <c r="BL58" s="84"/>
      <c r="BM58" s="84"/>
      <c r="BN58" s="84"/>
      <c r="BO58" s="84"/>
    </row>
    <row r="59" spans="1:67" ht="15.75" thickBot="1">
      <c r="A59" s="2"/>
      <c r="B59" s="23"/>
      <c r="C59" s="23"/>
      <c r="D59" s="123" t="str">
        <f t="shared" si="12"/>
        <v/>
      </c>
      <c r="E59" s="132" t="str">
        <f t="shared" si="6"/>
        <v/>
      </c>
      <c r="F59" s="124" t="str">
        <f t="shared" si="7"/>
        <v/>
      </c>
      <c r="G59" s="110" t="str">
        <f t="shared" si="13"/>
        <v/>
      </c>
      <c r="H59" s="110" t="str">
        <f t="shared" si="8"/>
        <v/>
      </c>
      <c r="I59" s="32" t="str">
        <f t="shared" si="14"/>
        <v/>
      </c>
      <c r="J59" s="84"/>
      <c r="K59" s="120" t="str">
        <f t="shared" si="15"/>
        <v/>
      </c>
      <c r="L59" s="117" t="str">
        <f t="shared" si="9"/>
        <v/>
      </c>
      <c r="M59" s="118" t="str">
        <f t="shared" si="10"/>
        <v/>
      </c>
      <c r="N59" s="119" t="str">
        <f t="shared" si="16"/>
        <v/>
      </c>
      <c r="O59" s="119" t="str">
        <f t="shared" si="11"/>
        <v/>
      </c>
      <c r="P59" s="113" t="str">
        <f t="shared" si="17"/>
        <v/>
      </c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  <c r="BH59" s="84"/>
      <c r="BI59" s="84"/>
      <c r="BJ59" s="84"/>
      <c r="BK59" s="84"/>
      <c r="BL59" s="84"/>
      <c r="BM59" s="84"/>
      <c r="BN59" s="84"/>
      <c r="BO59" s="84"/>
    </row>
    <row r="60" spans="1:67" ht="15.75" thickBot="1">
      <c r="A60" s="2"/>
      <c r="B60" s="23"/>
      <c r="C60" s="23"/>
      <c r="D60" s="123" t="str">
        <f t="shared" si="12"/>
        <v/>
      </c>
      <c r="E60" s="132" t="str">
        <f t="shared" si="6"/>
        <v/>
      </c>
      <c r="F60" s="124" t="str">
        <f t="shared" si="7"/>
        <v/>
      </c>
      <c r="G60" s="110" t="str">
        <f t="shared" si="13"/>
        <v/>
      </c>
      <c r="H60" s="110" t="str">
        <f t="shared" si="8"/>
        <v/>
      </c>
      <c r="I60" s="32" t="str">
        <f t="shared" si="14"/>
        <v/>
      </c>
      <c r="J60" s="84"/>
      <c r="K60" s="120" t="str">
        <f t="shared" si="15"/>
        <v/>
      </c>
      <c r="L60" s="117" t="str">
        <f t="shared" si="9"/>
        <v/>
      </c>
      <c r="M60" s="118" t="str">
        <f t="shared" si="10"/>
        <v/>
      </c>
      <c r="N60" s="119" t="str">
        <f t="shared" si="16"/>
        <v/>
      </c>
      <c r="O60" s="119" t="str">
        <f t="shared" si="11"/>
        <v/>
      </c>
      <c r="P60" s="113" t="str">
        <f t="shared" si="17"/>
        <v/>
      </c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  <c r="AO60" s="84"/>
      <c r="AP60" s="84"/>
      <c r="AQ60" s="84"/>
      <c r="AR60" s="84"/>
      <c r="AS60" s="84"/>
      <c r="AT60" s="84"/>
      <c r="AU60" s="84"/>
      <c r="AV60" s="84"/>
      <c r="AW60" s="84"/>
      <c r="AX60" s="84"/>
      <c r="AY60" s="84"/>
      <c r="AZ60" s="84"/>
      <c r="BA60" s="84"/>
      <c r="BB60" s="84"/>
      <c r="BC60" s="84"/>
      <c r="BD60" s="84"/>
      <c r="BE60" s="84"/>
      <c r="BF60" s="84"/>
      <c r="BG60" s="84"/>
      <c r="BH60" s="84"/>
      <c r="BI60" s="84"/>
      <c r="BJ60" s="84"/>
      <c r="BK60" s="84"/>
      <c r="BL60" s="84"/>
      <c r="BM60" s="84"/>
      <c r="BN60" s="84"/>
      <c r="BO60" s="84"/>
    </row>
    <row r="61" spans="1:67" ht="15.75" thickBot="1">
      <c r="A61" s="2"/>
      <c r="B61" s="23"/>
      <c r="C61" s="23"/>
      <c r="D61" s="123" t="str">
        <f t="shared" si="12"/>
        <v/>
      </c>
      <c r="E61" s="132" t="str">
        <f t="shared" si="6"/>
        <v/>
      </c>
      <c r="F61" s="124" t="str">
        <f t="shared" si="7"/>
        <v/>
      </c>
      <c r="G61" s="110" t="str">
        <f t="shared" si="13"/>
        <v/>
      </c>
      <c r="H61" s="110" t="str">
        <f t="shared" si="8"/>
        <v/>
      </c>
      <c r="I61" s="32" t="str">
        <f t="shared" si="14"/>
        <v/>
      </c>
      <c r="J61" s="84"/>
      <c r="K61" s="120" t="str">
        <f t="shared" si="15"/>
        <v/>
      </c>
      <c r="L61" s="117" t="str">
        <f t="shared" si="9"/>
        <v/>
      </c>
      <c r="M61" s="118" t="str">
        <f t="shared" si="10"/>
        <v/>
      </c>
      <c r="N61" s="119" t="str">
        <f t="shared" si="16"/>
        <v/>
      </c>
      <c r="O61" s="119" t="str">
        <f t="shared" si="11"/>
        <v/>
      </c>
      <c r="P61" s="113" t="str">
        <f t="shared" si="17"/>
        <v/>
      </c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  <c r="AO61" s="84"/>
      <c r="AP61" s="84"/>
      <c r="AQ61" s="84"/>
      <c r="AR61" s="84"/>
      <c r="AS61" s="84"/>
      <c r="AT61" s="84"/>
      <c r="AU61" s="84"/>
      <c r="AV61" s="84"/>
      <c r="AW61" s="84"/>
      <c r="AX61" s="84"/>
      <c r="AY61" s="84"/>
      <c r="AZ61" s="84"/>
      <c r="BA61" s="84"/>
      <c r="BB61" s="84"/>
      <c r="BC61" s="84"/>
      <c r="BD61" s="84"/>
      <c r="BE61" s="84"/>
      <c r="BF61" s="84"/>
      <c r="BG61" s="84"/>
      <c r="BH61" s="84"/>
      <c r="BI61" s="84"/>
      <c r="BJ61" s="84"/>
      <c r="BK61" s="84"/>
      <c r="BL61" s="84"/>
      <c r="BM61" s="84"/>
      <c r="BN61" s="84"/>
      <c r="BO61" s="84"/>
    </row>
    <row r="62" spans="1:67" ht="15.75" thickBot="1">
      <c r="A62" s="2"/>
      <c r="B62" s="23"/>
      <c r="C62" s="23"/>
      <c r="D62" s="123" t="str">
        <f t="shared" si="12"/>
        <v/>
      </c>
      <c r="E62" s="132" t="str">
        <f t="shared" si="6"/>
        <v/>
      </c>
      <c r="F62" s="124" t="str">
        <f t="shared" si="7"/>
        <v/>
      </c>
      <c r="G62" s="110" t="str">
        <f t="shared" si="13"/>
        <v/>
      </c>
      <c r="H62" s="110" t="str">
        <f t="shared" si="8"/>
        <v/>
      </c>
      <c r="I62" s="32" t="str">
        <f t="shared" si="14"/>
        <v/>
      </c>
      <c r="J62" s="84"/>
      <c r="K62" s="120" t="str">
        <f t="shared" si="15"/>
        <v/>
      </c>
      <c r="L62" s="117" t="str">
        <f t="shared" si="9"/>
        <v/>
      </c>
      <c r="M62" s="118" t="str">
        <f t="shared" si="10"/>
        <v/>
      </c>
      <c r="N62" s="119" t="str">
        <f t="shared" si="16"/>
        <v/>
      </c>
      <c r="O62" s="119" t="str">
        <f t="shared" si="11"/>
        <v/>
      </c>
      <c r="P62" s="113" t="str">
        <f t="shared" si="17"/>
        <v/>
      </c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  <c r="AO62" s="84"/>
      <c r="AP62" s="84"/>
      <c r="AQ62" s="84"/>
      <c r="AR62" s="84"/>
      <c r="AS62" s="84"/>
      <c r="AT62" s="84"/>
      <c r="AU62" s="84"/>
      <c r="AV62" s="84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  <c r="BH62" s="84"/>
      <c r="BI62" s="84"/>
      <c r="BJ62" s="84"/>
      <c r="BK62" s="84"/>
      <c r="BL62" s="84"/>
      <c r="BM62" s="84"/>
      <c r="BN62" s="84"/>
      <c r="BO62" s="84"/>
    </row>
    <row r="63" spans="1:67" ht="15.75" thickBot="1">
      <c r="A63" s="2"/>
      <c r="B63" s="23"/>
      <c r="C63" s="23"/>
      <c r="D63" s="123" t="str">
        <f t="shared" si="12"/>
        <v/>
      </c>
      <c r="E63" s="132" t="str">
        <f t="shared" si="6"/>
        <v/>
      </c>
      <c r="F63" s="124" t="str">
        <f t="shared" si="7"/>
        <v/>
      </c>
      <c r="G63" s="110" t="str">
        <f t="shared" si="13"/>
        <v/>
      </c>
      <c r="H63" s="110" t="str">
        <f t="shared" si="8"/>
        <v/>
      </c>
      <c r="I63" s="32" t="str">
        <f t="shared" si="14"/>
        <v/>
      </c>
      <c r="J63" s="84"/>
      <c r="K63" s="120" t="str">
        <f t="shared" si="15"/>
        <v/>
      </c>
      <c r="L63" s="117" t="str">
        <f t="shared" si="9"/>
        <v/>
      </c>
      <c r="M63" s="118" t="str">
        <f t="shared" si="10"/>
        <v/>
      </c>
      <c r="N63" s="119" t="str">
        <f t="shared" si="16"/>
        <v/>
      </c>
      <c r="O63" s="119" t="str">
        <f t="shared" si="11"/>
        <v/>
      </c>
      <c r="P63" s="113" t="str">
        <f t="shared" si="17"/>
        <v/>
      </c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84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  <c r="BH63" s="84"/>
      <c r="BI63" s="84"/>
      <c r="BJ63" s="84"/>
      <c r="BK63" s="84"/>
      <c r="BL63" s="84"/>
      <c r="BM63" s="84"/>
      <c r="BN63" s="84"/>
      <c r="BO63" s="84"/>
    </row>
    <row r="64" spans="1:67" ht="15.75" thickBot="1">
      <c r="A64" s="2"/>
      <c r="B64" s="23"/>
      <c r="C64" s="23"/>
      <c r="D64" s="123" t="str">
        <f t="shared" si="12"/>
        <v/>
      </c>
      <c r="E64" s="132" t="str">
        <f t="shared" si="6"/>
        <v/>
      </c>
      <c r="F64" s="124" t="str">
        <f t="shared" si="7"/>
        <v/>
      </c>
      <c r="G64" s="110" t="str">
        <f t="shared" si="13"/>
        <v/>
      </c>
      <c r="H64" s="110" t="str">
        <f t="shared" si="8"/>
        <v/>
      </c>
      <c r="I64" s="32" t="str">
        <f t="shared" si="14"/>
        <v/>
      </c>
      <c r="J64" s="84"/>
      <c r="K64" s="120" t="str">
        <f t="shared" si="15"/>
        <v/>
      </c>
      <c r="L64" s="117" t="str">
        <f t="shared" si="9"/>
        <v/>
      </c>
      <c r="M64" s="118" t="str">
        <f t="shared" si="10"/>
        <v/>
      </c>
      <c r="N64" s="119" t="str">
        <f t="shared" si="16"/>
        <v/>
      </c>
      <c r="O64" s="119" t="str">
        <f t="shared" si="11"/>
        <v/>
      </c>
      <c r="P64" s="113" t="str">
        <f t="shared" si="17"/>
        <v/>
      </c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  <c r="BH64" s="84"/>
      <c r="BI64" s="84"/>
      <c r="BJ64" s="84"/>
      <c r="BK64" s="84"/>
      <c r="BL64" s="84"/>
      <c r="BM64" s="84"/>
      <c r="BN64" s="84"/>
      <c r="BO64" s="84"/>
    </row>
    <row r="65" spans="1:67" ht="15.75" thickBot="1">
      <c r="A65" s="2"/>
      <c r="B65" s="23"/>
      <c r="C65" s="23"/>
      <c r="D65" s="123" t="str">
        <f t="shared" si="12"/>
        <v/>
      </c>
      <c r="E65" s="132" t="str">
        <f t="shared" si="6"/>
        <v/>
      </c>
      <c r="F65" s="124" t="str">
        <f t="shared" si="7"/>
        <v/>
      </c>
      <c r="G65" s="110" t="str">
        <f t="shared" si="13"/>
        <v/>
      </c>
      <c r="H65" s="110" t="str">
        <f t="shared" si="8"/>
        <v/>
      </c>
      <c r="I65" s="32" t="str">
        <f t="shared" si="14"/>
        <v/>
      </c>
      <c r="J65" s="84"/>
      <c r="K65" s="120" t="str">
        <f t="shared" si="15"/>
        <v/>
      </c>
      <c r="L65" s="117" t="str">
        <f t="shared" si="9"/>
        <v/>
      </c>
      <c r="M65" s="118" t="str">
        <f t="shared" si="10"/>
        <v/>
      </c>
      <c r="N65" s="119" t="str">
        <f t="shared" si="16"/>
        <v/>
      </c>
      <c r="O65" s="119" t="str">
        <f t="shared" si="11"/>
        <v/>
      </c>
      <c r="P65" s="113" t="str">
        <f t="shared" si="17"/>
        <v/>
      </c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  <c r="AN65" s="84"/>
      <c r="AO65" s="84"/>
      <c r="AP65" s="84"/>
      <c r="AQ65" s="84"/>
      <c r="AR65" s="84"/>
      <c r="AS65" s="84"/>
      <c r="AT65" s="84"/>
      <c r="AU65" s="84"/>
      <c r="AV65" s="84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  <c r="BH65" s="84"/>
      <c r="BI65" s="84"/>
      <c r="BJ65" s="84"/>
      <c r="BK65" s="84"/>
      <c r="BL65" s="84"/>
      <c r="BM65" s="84"/>
      <c r="BN65" s="84"/>
      <c r="BO65" s="84"/>
    </row>
    <row r="66" spans="1:67" ht="15.75" thickBot="1">
      <c r="A66" s="2"/>
      <c r="B66" s="23"/>
      <c r="C66" s="23"/>
      <c r="D66" s="123" t="str">
        <f t="shared" si="12"/>
        <v/>
      </c>
      <c r="E66" s="132" t="str">
        <f t="shared" si="6"/>
        <v/>
      </c>
      <c r="F66" s="124" t="str">
        <f t="shared" si="7"/>
        <v/>
      </c>
      <c r="G66" s="110" t="str">
        <f t="shared" si="13"/>
        <v/>
      </c>
      <c r="H66" s="110" t="str">
        <f t="shared" si="8"/>
        <v/>
      </c>
      <c r="I66" s="32" t="str">
        <f t="shared" si="14"/>
        <v/>
      </c>
      <c r="J66" s="84"/>
      <c r="K66" s="120" t="str">
        <f t="shared" si="15"/>
        <v/>
      </c>
      <c r="L66" s="117" t="str">
        <f t="shared" si="9"/>
        <v/>
      </c>
      <c r="M66" s="118" t="str">
        <f t="shared" si="10"/>
        <v/>
      </c>
      <c r="N66" s="119" t="str">
        <f t="shared" si="16"/>
        <v/>
      </c>
      <c r="O66" s="119" t="str">
        <f t="shared" si="11"/>
        <v/>
      </c>
      <c r="P66" s="113" t="str">
        <f t="shared" si="17"/>
        <v/>
      </c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  <c r="AL66" s="84"/>
      <c r="AM66" s="84"/>
      <c r="AN66" s="84"/>
      <c r="AO66" s="84"/>
      <c r="AP66" s="84"/>
      <c r="AQ66" s="84"/>
      <c r="AR66" s="84"/>
      <c r="AS66" s="84"/>
      <c r="AT66" s="84"/>
      <c r="AU66" s="84"/>
      <c r="AV66" s="84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  <c r="BH66" s="84"/>
      <c r="BI66" s="84"/>
      <c r="BJ66" s="84"/>
      <c r="BK66" s="84"/>
      <c r="BL66" s="84"/>
      <c r="BM66" s="84"/>
      <c r="BN66" s="84"/>
      <c r="BO66" s="84"/>
    </row>
    <row r="67" spans="1:67" ht="15.75" thickBot="1">
      <c r="A67" s="2"/>
      <c r="B67" s="23"/>
      <c r="C67" s="23"/>
      <c r="D67" s="123" t="str">
        <f t="shared" si="12"/>
        <v/>
      </c>
      <c r="E67" s="132" t="str">
        <f t="shared" si="6"/>
        <v/>
      </c>
      <c r="F67" s="124" t="str">
        <f t="shared" si="7"/>
        <v/>
      </c>
      <c r="G67" s="110" t="str">
        <f t="shared" si="13"/>
        <v/>
      </c>
      <c r="H67" s="110" t="str">
        <f t="shared" si="8"/>
        <v/>
      </c>
      <c r="I67" s="32" t="str">
        <f t="shared" si="14"/>
        <v/>
      </c>
      <c r="J67" s="84"/>
      <c r="K67" s="120" t="str">
        <f t="shared" si="15"/>
        <v/>
      </c>
      <c r="L67" s="117" t="str">
        <f t="shared" si="9"/>
        <v/>
      </c>
      <c r="M67" s="118" t="str">
        <f t="shared" si="10"/>
        <v/>
      </c>
      <c r="N67" s="119" t="str">
        <f t="shared" si="16"/>
        <v/>
      </c>
      <c r="O67" s="119" t="str">
        <f t="shared" si="11"/>
        <v/>
      </c>
      <c r="P67" s="113" t="str">
        <f t="shared" si="17"/>
        <v/>
      </c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  <c r="AN67" s="84"/>
      <c r="AO67" s="84"/>
      <c r="AP67" s="84"/>
      <c r="AQ67" s="84"/>
      <c r="AR67" s="84"/>
      <c r="AS67" s="84"/>
      <c r="AT67" s="84"/>
      <c r="AU67" s="84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  <c r="BN67" s="84"/>
      <c r="BO67" s="84"/>
    </row>
    <row r="68" spans="1:67" ht="15.75" thickBot="1">
      <c r="A68" s="2"/>
      <c r="B68" s="23"/>
      <c r="C68" s="23"/>
      <c r="D68" s="123" t="str">
        <f t="shared" si="12"/>
        <v/>
      </c>
      <c r="E68" s="132" t="str">
        <f t="shared" si="6"/>
        <v/>
      </c>
      <c r="F68" s="124" t="str">
        <f t="shared" si="7"/>
        <v/>
      </c>
      <c r="G68" s="110" t="str">
        <f t="shared" si="13"/>
        <v/>
      </c>
      <c r="H68" s="110" t="str">
        <f t="shared" si="8"/>
        <v/>
      </c>
      <c r="I68" s="32" t="str">
        <f t="shared" si="14"/>
        <v/>
      </c>
      <c r="J68" s="84"/>
      <c r="K68" s="120" t="str">
        <f t="shared" si="15"/>
        <v/>
      </c>
      <c r="L68" s="117" t="str">
        <f t="shared" si="9"/>
        <v/>
      </c>
      <c r="M68" s="118" t="str">
        <f t="shared" si="10"/>
        <v/>
      </c>
      <c r="N68" s="119" t="str">
        <f t="shared" si="16"/>
        <v/>
      </c>
      <c r="O68" s="119" t="str">
        <f t="shared" si="11"/>
        <v/>
      </c>
      <c r="P68" s="113" t="str">
        <f t="shared" si="17"/>
        <v/>
      </c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  <c r="AN68" s="84"/>
      <c r="AO68" s="84"/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  <c r="BH68" s="84"/>
      <c r="BI68" s="84"/>
      <c r="BJ68" s="84"/>
      <c r="BK68" s="84"/>
      <c r="BL68" s="84"/>
      <c r="BM68" s="84"/>
      <c r="BN68" s="84"/>
      <c r="BO68" s="84"/>
    </row>
    <row r="69" spans="1:67" ht="15.75" thickBot="1">
      <c r="A69" s="2"/>
      <c r="B69" s="23"/>
      <c r="C69" s="23"/>
      <c r="D69" s="123" t="str">
        <f t="shared" si="12"/>
        <v/>
      </c>
      <c r="E69" s="132" t="str">
        <f t="shared" si="6"/>
        <v/>
      </c>
      <c r="F69" s="124" t="str">
        <f t="shared" si="7"/>
        <v/>
      </c>
      <c r="G69" s="110" t="str">
        <f t="shared" si="13"/>
        <v/>
      </c>
      <c r="H69" s="110" t="str">
        <f t="shared" si="8"/>
        <v/>
      </c>
      <c r="I69" s="32" t="str">
        <f t="shared" si="14"/>
        <v/>
      </c>
      <c r="J69" s="84"/>
      <c r="K69" s="120" t="str">
        <f t="shared" si="15"/>
        <v/>
      </c>
      <c r="L69" s="117" t="str">
        <f t="shared" si="9"/>
        <v/>
      </c>
      <c r="M69" s="118" t="str">
        <f t="shared" si="10"/>
        <v/>
      </c>
      <c r="N69" s="119" t="str">
        <f t="shared" si="16"/>
        <v/>
      </c>
      <c r="O69" s="119" t="str">
        <f t="shared" si="11"/>
        <v/>
      </c>
      <c r="P69" s="113" t="str">
        <f t="shared" si="17"/>
        <v/>
      </c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  <c r="AN69" s="84"/>
      <c r="AO69" s="84"/>
      <c r="AP69" s="84"/>
      <c r="AQ69" s="84"/>
      <c r="AR69" s="84"/>
      <c r="AS69" s="84"/>
      <c r="AT69" s="84"/>
      <c r="AU69" s="84"/>
      <c r="AV69" s="84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  <c r="BH69" s="84"/>
      <c r="BI69" s="84"/>
      <c r="BJ69" s="84"/>
      <c r="BK69" s="84"/>
      <c r="BL69" s="84"/>
      <c r="BM69" s="84"/>
      <c r="BN69" s="84"/>
      <c r="BO69" s="84"/>
    </row>
    <row r="70" spans="1:67" ht="15.75" thickBot="1">
      <c r="A70" s="2"/>
      <c r="B70" s="23"/>
      <c r="C70" s="23"/>
      <c r="D70" s="123" t="str">
        <f t="shared" si="12"/>
        <v/>
      </c>
      <c r="E70" s="132" t="str">
        <f t="shared" si="6"/>
        <v/>
      </c>
      <c r="F70" s="124" t="str">
        <f t="shared" si="7"/>
        <v/>
      </c>
      <c r="G70" s="110" t="str">
        <f t="shared" si="13"/>
        <v/>
      </c>
      <c r="H70" s="110" t="str">
        <f t="shared" si="8"/>
        <v/>
      </c>
      <c r="I70" s="32" t="str">
        <f t="shared" si="14"/>
        <v/>
      </c>
      <c r="J70" s="84"/>
      <c r="K70" s="120" t="str">
        <f t="shared" si="15"/>
        <v/>
      </c>
      <c r="L70" s="117" t="str">
        <f t="shared" si="9"/>
        <v/>
      </c>
      <c r="M70" s="118" t="str">
        <f t="shared" si="10"/>
        <v/>
      </c>
      <c r="N70" s="119" t="str">
        <f t="shared" si="16"/>
        <v/>
      </c>
      <c r="O70" s="119" t="str">
        <f t="shared" si="11"/>
        <v/>
      </c>
      <c r="P70" s="113" t="str">
        <f t="shared" si="17"/>
        <v/>
      </c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84"/>
      <c r="BN70" s="84"/>
      <c r="BO70" s="84"/>
    </row>
    <row r="71" spans="1:67" ht="15.75" thickBot="1">
      <c r="A71" s="2"/>
      <c r="B71" s="23"/>
      <c r="C71" s="23"/>
      <c r="D71" s="123" t="str">
        <f t="shared" si="12"/>
        <v/>
      </c>
      <c r="E71" s="132" t="str">
        <f t="shared" si="6"/>
        <v/>
      </c>
      <c r="F71" s="124" t="str">
        <f t="shared" si="7"/>
        <v/>
      </c>
      <c r="G71" s="110" t="str">
        <f t="shared" si="13"/>
        <v/>
      </c>
      <c r="H71" s="110" t="str">
        <f t="shared" si="8"/>
        <v/>
      </c>
      <c r="I71" s="32" t="str">
        <f t="shared" si="14"/>
        <v/>
      </c>
      <c r="J71" s="84"/>
      <c r="K71" s="120" t="str">
        <f t="shared" si="15"/>
        <v/>
      </c>
      <c r="L71" s="117" t="str">
        <f t="shared" si="9"/>
        <v/>
      </c>
      <c r="M71" s="118" t="str">
        <f t="shared" si="10"/>
        <v/>
      </c>
      <c r="N71" s="119" t="str">
        <f t="shared" si="16"/>
        <v/>
      </c>
      <c r="O71" s="119" t="str">
        <f t="shared" si="11"/>
        <v/>
      </c>
      <c r="P71" s="113" t="str">
        <f t="shared" si="17"/>
        <v/>
      </c>
      <c r="Q71" s="84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4"/>
      <c r="AL71" s="84"/>
      <c r="AM71" s="84"/>
      <c r="AN71" s="84"/>
      <c r="AO71" s="84"/>
      <c r="AP71" s="84"/>
      <c r="AQ71" s="84"/>
      <c r="AR71" s="84"/>
      <c r="AS71" s="84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</row>
    <row r="72" spans="1:67" ht="15.75" thickBot="1">
      <c r="A72" s="2"/>
      <c r="B72" s="23"/>
      <c r="C72" s="23"/>
      <c r="D72" s="123" t="str">
        <f t="shared" ref="D72:D103" si="18">IF(C72&gt;0,SQRT((F72*(1-F72/C72))),"")</f>
        <v/>
      </c>
      <c r="E72" s="132" t="str">
        <f t="shared" si="6"/>
        <v/>
      </c>
      <c r="F72" s="124" t="str">
        <f t="shared" si="7"/>
        <v/>
      </c>
      <c r="G72" s="110" t="str">
        <f t="shared" ref="G72:G103" si="19">IF(C72&gt;0,F72+D72*3,"")</f>
        <v/>
      </c>
      <c r="H72" s="110" t="str">
        <f t="shared" si="8"/>
        <v/>
      </c>
      <c r="I72" s="32" t="str">
        <f t="shared" ref="I72:I103" si="20">IF(C72&gt;0,F72-D72*3,"")</f>
        <v/>
      </c>
      <c r="J72" s="84"/>
      <c r="K72" s="120" t="str">
        <f t="shared" ref="K72:K103" si="21">IF(C72&gt;0,SQRT((M72*(1-M72))/($M$2)),"")</f>
        <v/>
      </c>
      <c r="L72" s="117" t="str">
        <f t="shared" si="9"/>
        <v/>
      </c>
      <c r="M72" s="118" t="str">
        <f t="shared" si="10"/>
        <v/>
      </c>
      <c r="N72" s="119" t="str">
        <f t="shared" ref="N72:N103" si="22">IF(C72&gt;0,M72+K72*3,"")</f>
        <v/>
      </c>
      <c r="O72" s="119" t="str">
        <f t="shared" si="11"/>
        <v/>
      </c>
      <c r="P72" s="113" t="str">
        <f t="shared" ref="P72:P103" si="23">IF(C72&gt;0,M72-K72*3,"")</f>
        <v/>
      </c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  <c r="AO72" s="84"/>
      <c r="AP72" s="84"/>
      <c r="AQ72" s="84"/>
      <c r="AR72" s="84"/>
      <c r="AS72" s="84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</row>
    <row r="73" spans="1:67" ht="15.75" thickBot="1">
      <c r="A73" s="2"/>
      <c r="B73" s="23"/>
      <c r="C73" s="23"/>
      <c r="D73" s="123" t="str">
        <f t="shared" si="18"/>
        <v/>
      </c>
      <c r="E73" s="132" t="str">
        <f t="shared" ref="E73:E115" si="24">IF(C73&lt;&gt;0,B73,"")</f>
        <v/>
      </c>
      <c r="F73" s="124" t="str">
        <f t="shared" ref="F73:F115" si="25">IF(C73&gt;0,AVERAGE($B$8:$B$116),"")</f>
        <v/>
      </c>
      <c r="G73" s="110" t="str">
        <f t="shared" si="19"/>
        <v/>
      </c>
      <c r="H73" s="110" t="str">
        <f t="shared" ref="H73:H115" si="26">IF(I73&lt;0,0,I73)</f>
        <v/>
      </c>
      <c r="I73" s="32" t="str">
        <f t="shared" si="20"/>
        <v/>
      </c>
      <c r="J73" s="84"/>
      <c r="K73" s="120" t="str">
        <f t="shared" si="21"/>
        <v/>
      </c>
      <c r="L73" s="117" t="str">
        <f t="shared" ref="L73:L115" si="27">IF(C73&gt;0,B73/C73,"")</f>
        <v/>
      </c>
      <c r="M73" s="118" t="str">
        <f t="shared" ref="M73:M115" si="28">IF(C73&gt;0,$M$1,"")</f>
        <v/>
      </c>
      <c r="N73" s="119" t="str">
        <f t="shared" si="22"/>
        <v/>
      </c>
      <c r="O73" s="119" t="str">
        <f t="shared" ref="O73:O115" si="29">IF(P73&lt;0,0,P73)</f>
        <v/>
      </c>
      <c r="P73" s="113" t="str">
        <f t="shared" si="23"/>
        <v/>
      </c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  <c r="AN73" s="84"/>
      <c r="AO73" s="84"/>
      <c r="AP73" s="84"/>
      <c r="AQ73" s="84"/>
      <c r="AR73" s="84"/>
      <c r="AS73" s="84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</row>
    <row r="74" spans="1:67" ht="15.75" thickBot="1">
      <c r="A74" s="2"/>
      <c r="B74" s="23"/>
      <c r="C74" s="23"/>
      <c r="D74" s="123" t="str">
        <f t="shared" si="18"/>
        <v/>
      </c>
      <c r="E74" s="132" t="str">
        <f t="shared" si="24"/>
        <v/>
      </c>
      <c r="F74" s="124" t="str">
        <f t="shared" si="25"/>
        <v/>
      </c>
      <c r="G74" s="110" t="str">
        <f t="shared" si="19"/>
        <v/>
      </c>
      <c r="H74" s="110" t="str">
        <f t="shared" si="26"/>
        <v/>
      </c>
      <c r="I74" s="32" t="str">
        <f t="shared" si="20"/>
        <v/>
      </c>
      <c r="J74" s="84"/>
      <c r="K74" s="120" t="str">
        <f t="shared" si="21"/>
        <v/>
      </c>
      <c r="L74" s="117" t="str">
        <f t="shared" si="27"/>
        <v/>
      </c>
      <c r="M74" s="118" t="str">
        <f t="shared" si="28"/>
        <v/>
      </c>
      <c r="N74" s="119" t="str">
        <f t="shared" si="22"/>
        <v/>
      </c>
      <c r="O74" s="119" t="str">
        <f t="shared" si="29"/>
        <v/>
      </c>
      <c r="P74" s="113" t="str">
        <f t="shared" si="23"/>
        <v/>
      </c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  <c r="AN74" s="84"/>
      <c r="AO74" s="84"/>
      <c r="AP74" s="84"/>
      <c r="AQ74" s="84"/>
      <c r="AR74" s="84"/>
      <c r="AS74" s="84"/>
      <c r="AT74" s="84"/>
      <c r="AU74" s="84"/>
      <c r="AV74" s="84"/>
      <c r="AW74" s="84"/>
      <c r="AX74" s="84"/>
      <c r="AY74" s="84"/>
      <c r="AZ74" s="84"/>
      <c r="BA74" s="84"/>
      <c r="BB74" s="84"/>
      <c r="BC74" s="84"/>
      <c r="BD74" s="84"/>
      <c r="BE74" s="84"/>
      <c r="BF74" s="84"/>
      <c r="BG74" s="84"/>
      <c r="BH74" s="84"/>
      <c r="BI74" s="84"/>
      <c r="BJ74" s="84"/>
      <c r="BK74" s="84"/>
      <c r="BL74" s="84"/>
      <c r="BM74" s="84"/>
      <c r="BN74" s="84"/>
      <c r="BO74" s="84"/>
    </row>
    <row r="75" spans="1:67" ht="15.75" thickBot="1">
      <c r="A75" s="2"/>
      <c r="B75" s="23"/>
      <c r="C75" s="23"/>
      <c r="D75" s="123" t="str">
        <f t="shared" si="18"/>
        <v/>
      </c>
      <c r="E75" s="132" t="str">
        <f t="shared" si="24"/>
        <v/>
      </c>
      <c r="F75" s="124" t="str">
        <f t="shared" si="25"/>
        <v/>
      </c>
      <c r="G75" s="110" t="str">
        <f t="shared" si="19"/>
        <v/>
      </c>
      <c r="H75" s="110" t="str">
        <f t="shared" si="26"/>
        <v/>
      </c>
      <c r="I75" s="32" t="str">
        <f t="shared" si="20"/>
        <v/>
      </c>
      <c r="J75" s="84"/>
      <c r="K75" s="120" t="str">
        <f t="shared" si="21"/>
        <v/>
      </c>
      <c r="L75" s="117" t="str">
        <f t="shared" si="27"/>
        <v/>
      </c>
      <c r="M75" s="118" t="str">
        <f t="shared" si="28"/>
        <v/>
      </c>
      <c r="N75" s="119" t="str">
        <f t="shared" si="22"/>
        <v/>
      </c>
      <c r="O75" s="119" t="str">
        <f t="shared" si="29"/>
        <v/>
      </c>
      <c r="P75" s="113" t="str">
        <f t="shared" si="23"/>
        <v/>
      </c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  <c r="AL75" s="84"/>
      <c r="AM75" s="84"/>
      <c r="AN75" s="84"/>
      <c r="AO75" s="84"/>
      <c r="AP75" s="84"/>
      <c r="AQ75" s="84"/>
      <c r="AR75" s="84"/>
      <c r="AS75" s="84"/>
      <c r="AT75" s="84"/>
      <c r="AU75" s="84"/>
      <c r="AV75" s="84"/>
      <c r="AW75" s="84"/>
      <c r="AX75" s="84"/>
      <c r="AY75" s="84"/>
      <c r="AZ75" s="84"/>
      <c r="BA75" s="84"/>
      <c r="BB75" s="84"/>
      <c r="BC75" s="84"/>
      <c r="BD75" s="84"/>
      <c r="BE75" s="84"/>
      <c r="BF75" s="84"/>
      <c r="BG75" s="84"/>
      <c r="BH75" s="84"/>
      <c r="BI75" s="84"/>
      <c r="BJ75" s="84"/>
      <c r="BK75" s="84"/>
      <c r="BL75" s="84"/>
      <c r="BM75" s="84"/>
      <c r="BN75" s="84"/>
      <c r="BO75" s="84"/>
    </row>
    <row r="76" spans="1:67" ht="15.75" thickBot="1">
      <c r="A76" s="2"/>
      <c r="B76" s="23"/>
      <c r="C76" s="23"/>
      <c r="D76" s="123" t="str">
        <f t="shared" si="18"/>
        <v/>
      </c>
      <c r="E76" s="132" t="str">
        <f t="shared" si="24"/>
        <v/>
      </c>
      <c r="F76" s="124" t="str">
        <f t="shared" si="25"/>
        <v/>
      </c>
      <c r="G76" s="110" t="str">
        <f t="shared" si="19"/>
        <v/>
      </c>
      <c r="H76" s="110" t="str">
        <f t="shared" si="26"/>
        <v/>
      </c>
      <c r="I76" s="32" t="str">
        <f t="shared" si="20"/>
        <v/>
      </c>
      <c r="J76" s="84"/>
      <c r="K76" s="120" t="str">
        <f t="shared" si="21"/>
        <v/>
      </c>
      <c r="L76" s="117" t="str">
        <f t="shared" si="27"/>
        <v/>
      </c>
      <c r="M76" s="118" t="str">
        <f t="shared" si="28"/>
        <v/>
      </c>
      <c r="N76" s="119" t="str">
        <f t="shared" si="22"/>
        <v/>
      </c>
      <c r="O76" s="119" t="str">
        <f t="shared" si="29"/>
        <v/>
      </c>
      <c r="P76" s="113" t="str">
        <f t="shared" si="23"/>
        <v/>
      </c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  <c r="AN76" s="84"/>
      <c r="AO76" s="84"/>
      <c r="AP76" s="84"/>
      <c r="AQ76" s="84"/>
      <c r="AR76" s="84"/>
      <c r="AS76" s="84"/>
      <c r="AT76" s="84"/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BJ76" s="84"/>
      <c r="BK76" s="84"/>
      <c r="BL76" s="84"/>
      <c r="BM76" s="84"/>
      <c r="BN76" s="84"/>
      <c r="BO76" s="84"/>
    </row>
    <row r="77" spans="1:67" ht="15.75" thickBot="1">
      <c r="A77" s="2"/>
      <c r="B77" s="23"/>
      <c r="C77" s="23"/>
      <c r="D77" s="123" t="str">
        <f t="shared" si="18"/>
        <v/>
      </c>
      <c r="E77" s="132" t="str">
        <f t="shared" si="24"/>
        <v/>
      </c>
      <c r="F77" s="124" t="str">
        <f t="shared" si="25"/>
        <v/>
      </c>
      <c r="G77" s="110" t="str">
        <f t="shared" si="19"/>
        <v/>
      </c>
      <c r="H77" s="110" t="str">
        <f t="shared" si="26"/>
        <v/>
      </c>
      <c r="I77" s="32" t="str">
        <f t="shared" si="20"/>
        <v/>
      </c>
      <c r="J77" s="84"/>
      <c r="K77" s="120" t="str">
        <f t="shared" si="21"/>
        <v/>
      </c>
      <c r="L77" s="117" t="str">
        <f t="shared" si="27"/>
        <v/>
      </c>
      <c r="M77" s="118" t="str">
        <f t="shared" si="28"/>
        <v/>
      </c>
      <c r="N77" s="119" t="str">
        <f t="shared" si="22"/>
        <v/>
      </c>
      <c r="O77" s="119" t="str">
        <f t="shared" si="29"/>
        <v/>
      </c>
      <c r="P77" s="113" t="str">
        <f t="shared" si="23"/>
        <v/>
      </c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/>
      <c r="AP77" s="84"/>
      <c r="AQ77" s="84"/>
      <c r="AR77" s="84"/>
      <c r="AS77" s="84"/>
      <c r="AT77" s="84"/>
      <c r="AU77" s="84"/>
      <c r="AV77" s="84"/>
      <c r="AW77" s="84"/>
      <c r="AX77" s="84"/>
      <c r="AY77" s="84"/>
      <c r="AZ77" s="84"/>
      <c r="BA77" s="84"/>
      <c r="BB77" s="84"/>
      <c r="BC77" s="84"/>
      <c r="BD77" s="84"/>
      <c r="BE77" s="84"/>
      <c r="BF77" s="84"/>
      <c r="BG77" s="84"/>
      <c r="BH77" s="84"/>
      <c r="BI77" s="84"/>
      <c r="BJ77" s="84"/>
      <c r="BK77" s="84"/>
      <c r="BL77" s="84"/>
      <c r="BM77" s="84"/>
      <c r="BN77" s="84"/>
      <c r="BO77" s="84"/>
    </row>
    <row r="78" spans="1:67" ht="15.75" thickBot="1">
      <c r="A78" s="2"/>
      <c r="B78" s="23"/>
      <c r="C78" s="23"/>
      <c r="D78" s="123" t="str">
        <f t="shared" si="18"/>
        <v/>
      </c>
      <c r="E78" s="132" t="str">
        <f t="shared" si="24"/>
        <v/>
      </c>
      <c r="F78" s="124" t="str">
        <f t="shared" si="25"/>
        <v/>
      </c>
      <c r="G78" s="110" t="str">
        <f t="shared" si="19"/>
        <v/>
      </c>
      <c r="H78" s="110" t="str">
        <f t="shared" si="26"/>
        <v/>
      </c>
      <c r="I78" s="32" t="str">
        <f t="shared" si="20"/>
        <v/>
      </c>
      <c r="J78" s="84"/>
      <c r="K78" s="120" t="str">
        <f t="shared" si="21"/>
        <v/>
      </c>
      <c r="L78" s="117" t="str">
        <f t="shared" si="27"/>
        <v/>
      </c>
      <c r="M78" s="118" t="str">
        <f t="shared" si="28"/>
        <v/>
      </c>
      <c r="N78" s="119" t="str">
        <f t="shared" si="22"/>
        <v/>
      </c>
      <c r="O78" s="119" t="str">
        <f t="shared" si="29"/>
        <v/>
      </c>
      <c r="P78" s="113" t="str">
        <f t="shared" si="23"/>
        <v/>
      </c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4"/>
      <c r="AL78" s="84"/>
      <c r="AM78" s="84"/>
      <c r="AN78" s="84"/>
      <c r="AO78" s="84"/>
      <c r="AP78" s="84"/>
      <c r="AQ78" s="84"/>
      <c r="AR78" s="84"/>
      <c r="AS78" s="84"/>
      <c r="AT78" s="84"/>
      <c r="AU78" s="84"/>
      <c r="AV78" s="84"/>
      <c r="AW78" s="84"/>
      <c r="AX78" s="84"/>
      <c r="AY78" s="84"/>
      <c r="AZ78" s="84"/>
      <c r="BA78" s="84"/>
      <c r="BB78" s="84"/>
      <c r="BC78" s="84"/>
      <c r="BD78" s="84"/>
      <c r="BE78" s="84"/>
      <c r="BF78" s="84"/>
      <c r="BG78" s="84"/>
      <c r="BH78" s="84"/>
      <c r="BI78" s="84"/>
      <c r="BJ78" s="84"/>
      <c r="BK78" s="84"/>
      <c r="BL78" s="84"/>
      <c r="BM78" s="84"/>
      <c r="BN78" s="84"/>
      <c r="BO78" s="84"/>
    </row>
    <row r="79" spans="1:67" ht="15.75" thickBot="1">
      <c r="A79" s="2"/>
      <c r="B79" s="23"/>
      <c r="C79" s="23"/>
      <c r="D79" s="123" t="str">
        <f t="shared" si="18"/>
        <v/>
      </c>
      <c r="E79" s="132" t="str">
        <f t="shared" si="24"/>
        <v/>
      </c>
      <c r="F79" s="124" t="str">
        <f t="shared" si="25"/>
        <v/>
      </c>
      <c r="G79" s="110" t="str">
        <f t="shared" si="19"/>
        <v/>
      </c>
      <c r="H79" s="110" t="str">
        <f t="shared" si="26"/>
        <v/>
      </c>
      <c r="I79" s="32" t="str">
        <f t="shared" si="20"/>
        <v/>
      </c>
      <c r="J79" s="84"/>
      <c r="K79" s="120" t="str">
        <f t="shared" si="21"/>
        <v/>
      </c>
      <c r="L79" s="117" t="str">
        <f t="shared" si="27"/>
        <v/>
      </c>
      <c r="M79" s="118" t="str">
        <f t="shared" si="28"/>
        <v/>
      </c>
      <c r="N79" s="119" t="str">
        <f t="shared" si="22"/>
        <v/>
      </c>
      <c r="O79" s="119" t="str">
        <f t="shared" si="29"/>
        <v/>
      </c>
      <c r="P79" s="113" t="str">
        <f t="shared" si="23"/>
        <v/>
      </c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  <c r="AO79" s="84"/>
      <c r="AP79" s="84"/>
      <c r="AQ79" s="84"/>
      <c r="AR79" s="84"/>
      <c r="AS79" s="84"/>
      <c r="AT79" s="84"/>
      <c r="AU79" s="84"/>
      <c r="AV79" s="84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  <c r="BH79" s="84"/>
      <c r="BI79" s="84"/>
      <c r="BJ79" s="84"/>
      <c r="BK79" s="84"/>
      <c r="BL79" s="84"/>
      <c r="BM79" s="84"/>
      <c r="BN79" s="84"/>
      <c r="BO79" s="84"/>
    </row>
    <row r="80" spans="1:67" ht="15.75" thickBot="1">
      <c r="A80" s="2"/>
      <c r="B80" s="23"/>
      <c r="C80" s="23"/>
      <c r="D80" s="123" t="str">
        <f t="shared" si="18"/>
        <v/>
      </c>
      <c r="E80" s="132" t="str">
        <f t="shared" si="24"/>
        <v/>
      </c>
      <c r="F80" s="124" t="str">
        <f t="shared" si="25"/>
        <v/>
      </c>
      <c r="G80" s="110" t="str">
        <f t="shared" si="19"/>
        <v/>
      </c>
      <c r="H80" s="110" t="str">
        <f t="shared" si="26"/>
        <v/>
      </c>
      <c r="I80" s="32" t="str">
        <f t="shared" si="20"/>
        <v/>
      </c>
      <c r="J80" s="84"/>
      <c r="K80" s="120" t="str">
        <f t="shared" si="21"/>
        <v/>
      </c>
      <c r="L80" s="117" t="str">
        <f t="shared" si="27"/>
        <v/>
      </c>
      <c r="M80" s="118" t="str">
        <f t="shared" si="28"/>
        <v/>
      </c>
      <c r="N80" s="119" t="str">
        <f t="shared" si="22"/>
        <v/>
      </c>
      <c r="O80" s="119" t="str">
        <f t="shared" si="29"/>
        <v/>
      </c>
      <c r="P80" s="113" t="str">
        <f t="shared" si="23"/>
        <v/>
      </c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  <c r="AN80" s="84"/>
      <c r="AO80" s="84"/>
      <c r="AP80" s="84"/>
      <c r="AQ80" s="84"/>
      <c r="AR80" s="84"/>
      <c r="AS80" s="84"/>
      <c r="AT80" s="84"/>
      <c r="AU80" s="84"/>
      <c r="AV80" s="84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  <c r="BH80" s="84"/>
      <c r="BI80" s="84"/>
      <c r="BJ80" s="84"/>
      <c r="BK80" s="84"/>
      <c r="BL80" s="84"/>
      <c r="BM80" s="84"/>
      <c r="BN80" s="84"/>
      <c r="BO80" s="84"/>
    </row>
    <row r="81" spans="1:67" ht="15.75" thickBot="1">
      <c r="A81" s="2"/>
      <c r="B81" s="23"/>
      <c r="C81" s="23"/>
      <c r="D81" s="123" t="str">
        <f t="shared" si="18"/>
        <v/>
      </c>
      <c r="E81" s="132" t="str">
        <f t="shared" si="24"/>
        <v/>
      </c>
      <c r="F81" s="124" t="str">
        <f t="shared" si="25"/>
        <v/>
      </c>
      <c r="G81" s="110" t="str">
        <f t="shared" si="19"/>
        <v/>
      </c>
      <c r="H81" s="110" t="str">
        <f t="shared" si="26"/>
        <v/>
      </c>
      <c r="I81" s="32" t="str">
        <f t="shared" si="20"/>
        <v/>
      </c>
      <c r="J81" s="84"/>
      <c r="K81" s="120" t="str">
        <f t="shared" si="21"/>
        <v/>
      </c>
      <c r="L81" s="117" t="str">
        <f t="shared" si="27"/>
        <v/>
      </c>
      <c r="M81" s="118" t="str">
        <f t="shared" si="28"/>
        <v/>
      </c>
      <c r="N81" s="119" t="str">
        <f t="shared" si="22"/>
        <v/>
      </c>
      <c r="O81" s="119" t="str">
        <f t="shared" si="29"/>
        <v/>
      </c>
      <c r="P81" s="113" t="str">
        <f t="shared" si="23"/>
        <v/>
      </c>
      <c r="Q81" s="84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  <c r="AO81" s="84"/>
      <c r="AP81" s="84"/>
      <c r="AQ81" s="84"/>
      <c r="AR81" s="84"/>
      <c r="AS81" s="84"/>
      <c r="AT81" s="84"/>
      <c r="AU81" s="84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  <c r="BN81" s="84"/>
      <c r="BO81" s="84"/>
    </row>
    <row r="82" spans="1:67" ht="15.75" thickBot="1">
      <c r="A82" s="2"/>
      <c r="B82" s="23"/>
      <c r="C82" s="23"/>
      <c r="D82" s="123" t="str">
        <f t="shared" si="18"/>
        <v/>
      </c>
      <c r="E82" s="132" t="str">
        <f t="shared" si="24"/>
        <v/>
      </c>
      <c r="F82" s="124" t="str">
        <f t="shared" si="25"/>
        <v/>
      </c>
      <c r="G82" s="110" t="str">
        <f t="shared" si="19"/>
        <v/>
      </c>
      <c r="H82" s="110" t="str">
        <f t="shared" si="26"/>
        <v/>
      </c>
      <c r="I82" s="32" t="str">
        <f t="shared" si="20"/>
        <v/>
      </c>
      <c r="J82" s="84"/>
      <c r="K82" s="120" t="str">
        <f t="shared" si="21"/>
        <v/>
      </c>
      <c r="L82" s="117" t="str">
        <f t="shared" si="27"/>
        <v/>
      </c>
      <c r="M82" s="118" t="str">
        <f t="shared" si="28"/>
        <v/>
      </c>
      <c r="N82" s="119" t="str">
        <f t="shared" si="22"/>
        <v/>
      </c>
      <c r="O82" s="119" t="str">
        <f t="shared" si="29"/>
        <v/>
      </c>
      <c r="P82" s="113" t="str">
        <f t="shared" si="23"/>
        <v/>
      </c>
      <c r="Q82" s="84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  <c r="AO82" s="84"/>
      <c r="AP82" s="84"/>
      <c r="AQ82" s="84"/>
      <c r="AR82" s="84"/>
      <c r="AS82" s="84"/>
      <c r="AT82" s="84"/>
      <c r="AU82" s="84"/>
      <c r="AV82" s="84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  <c r="BN82" s="84"/>
      <c r="BO82" s="84"/>
    </row>
    <row r="83" spans="1:67" ht="15.75" thickBot="1">
      <c r="A83" s="2"/>
      <c r="B83" s="23"/>
      <c r="C83" s="23"/>
      <c r="D83" s="123" t="str">
        <f t="shared" si="18"/>
        <v/>
      </c>
      <c r="E83" s="132" t="str">
        <f t="shared" si="24"/>
        <v/>
      </c>
      <c r="F83" s="124" t="str">
        <f t="shared" si="25"/>
        <v/>
      </c>
      <c r="G83" s="110" t="str">
        <f t="shared" si="19"/>
        <v/>
      </c>
      <c r="H83" s="110" t="str">
        <f t="shared" si="26"/>
        <v/>
      </c>
      <c r="I83" s="32" t="str">
        <f t="shared" si="20"/>
        <v/>
      </c>
      <c r="J83" s="84"/>
      <c r="K83" s="120" t="str">
        <f t="shared" si="21"/>
        <v/>
      </c>
      <c r="L83" s="117" t="str">
        <f t="shared" si="27"/>
        <v/>
      </c>
      <c r="M83" s="118" t="str">
        <f t="shared" si="28"/>
        <v/>
      </c>
      <c r="N83" s="119" t="str">
        <f t="shared" si="22"/>
        <v/>
      </c>
      <c r="O83" s="119" t="str">
        <f t="shared" si="29"/>
        <v/>
      </c>
      <c r="P83" s="113" t="str">
        <f t="shared" si="23"/>
        <v/>
      </c>
      <c r="Q83" s="84"/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  <c r="AC83" s="84"/>
      <c r="AD83" s="84"/>
      <c r="AE83" s="84"/>
      <c r="AF83" s="84"/>
      <c r="AG83" s="84"/>
      <c r="AH83" s="84"/>
      <c r="AI83" s="84"/>
      <c r="AJ83" s="84"/>
      <c r="AK83" s="84"/>
      <c r="AL83" s="84"/>
      <c r="AM83" s="84"/>
      <c r="AN83" s="84"/>
      <c r="AO83" s="84"/>
      <c r="AP83" s="84"/>
      <c r="AQ83" s="84"/>
      <c r="AR83" s="84"/>
      <c r="AS83" s="84"/>
      <c r="AT83" s="84"/>
      <c r="AU83" s="84"/>
      <c r="AV83" s="84"/>
      <c r="AW83" s="84"/>
      <c r="AX83" s="84"/>
      <c r="AY83" s="84"/>
      <c r="AZ83" s="84"/>
      <c r="BA83" s="84"/>
      <c r="BB83" s="84"/>
      <c r="BC83" s="84"/>
      <c r="BD83" s="84"/>
      <c r="BE83" s="84"/>
      <c r="BF83" s="84"/>
      <c r="BG83" s="84"/>
      <c r="BH83" s="84"/>
      <c r="BI83" s="84"/>
      <c r="BJ83" s="84"/>
      <c r="BK83" s="84"/>
      <c r="BL83" s="84"/>
      <c r="BM83" s="84"/>
      <c r="BN83" s="84"/>
      <c r="BO83" s="84"/>
    </row>
    <row r="84" spans="1:67" ht="15.75" thickBot="1">
      <c r="A84" s="2"/>
      <c r="B84" s="23"/>
      <c r="C84" s="23"/>
      <c r="D84" s="123" t="str">
        <f t="shared" si="18"/>
        <v/>
      </c>
      <c r="E84" s="132" t="str">
        <f t="shared" si="24"/>
        <v/>
      </c>
      <c r="F84" s="124" t="str">
        <f t="shared" si="25"/>
        <v/>
      </c>
      <c r="G84" s="110" t="str">
        <f t="shared" si="19"/>
        <v/>
      </c>
      <c r="H84" s="110" t="str">
        <f t="shared" si="26"/>
        <v/>
      </c>
      <c r="I84" s="32" t="str">
        <f t="shared" si="20"/>
        <v/>
      </c>
      <c r="J84" s="84"/>
      <c r="K84" s="120" t="str">
        <f t="shared" si="21"/>
        <v/>
      </c>
      <c r="L84" s="117" t="str">
        <f t="shared" si="27"/>
        <v/>
      </c>
      <c r="M84" s="118" t="str">
        <f t="shared" si="28"/>
        <v/>
      </c>
      <c r="N84" s="119" t="str">
        <f t="shared" si="22"/>
        <v/>
      </c>
      <c r="O84" s="119" t="str">
        <f t="shared" si="29"/>
        <v/>
      </c>
      <c r="P84" s="113" t="str">
        <f t="shared" si="23"/>
        <v/>
      </c>
      <c r="Q84" s="84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  <c r="AO84" s="84"/>
      <c r="AP84" s="84"/>
      <c r="AQ84" s="84"/>
      <c r="AR84" s="84"/>
      <c r="AS84" s="84"/>
      <c r="AT84" s="84"/>
      <c r="AU84" s="84"/>
      <c r="AV84" s="84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  <c r="BH84" s="84"/>
      <c r="BI84" s="84"/>
      <c r="BJ84" s="84"/>
      <c r="BK84" s="84"/>
      <c r="BL84" s="84"/>
      <c r="BM84" s="84"/>
      <c r="BN84" s="84"/>
      <c r="BO84" s="84"/>
    </row>
    <row r="85" spans="1:67" ht="15.75" thickBot="1">
      <c r="A85" s="2"/>
      <c r="B85" s="23"/>
      <c r="C85" s="23"/>
      <c r="D85" s="123" t="str">
        <f t="shared" si="18"/>
        <v/>
      </c>
      <c r="E85" s="132" t="str">
        <f t="shared" si="24"/>
        <v/>
      </c>
      <c r="F85" s="124" t="str">
        <f t="shared" si="25"/>
        <v/>
      </c>
      <c r="G85" s="110" t="str">
        <f t="shared" si="19"/>
        <v/>
      </c>
      <c r="H85" s="110" t="str">
        <f t="shared" si="26"/>
        <v/>
      </c>
      <c r="I85" s="32" t="str">
        <f t="shared" si="20"/>
        <v/>
      </c>
      <c r="J85" s="84"/>
      <c r="K85" s="120" t="str">
        <f t="shared" si="21"/>
        <v/>
      </c>
      <c r="L85" s="117" t="str">
        <f t="shared" si="27"/>
        <v/>
      </c>
      <c r="M85" s="118" t="str">
        <f t="shared" si="28"/>
        <v/>
      </c>
      <c r="N85" s="119" t="str">
        <f t="shared" si="22"/>
        <v/>
      </c>
      <c r="O85" s="119" t="str">
        <f t="shared" si="29"/>
        <v/>
      </c>
      <c r="P85" s="113" t="str">
        <f t="shared" si="23"/>
        <v/>
      </c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  <c r="AO85" s="84"/>
      <c r="AP85" s="84"/>
      <c r="AQ85" s="84"/>
      <c r="AR85" s="84"/>
      <c r="AS85" s="84"/>
      <c r="AT85" s="84"/>
      <c r="AU85" s="84"/>
      <c r="AV85" s="84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  <c r="BH85" s="84"/>
      <c r="BI85" s="84"/>
      <c r="BJ85" s="84"/>
      <c r="BK85" s="84"/>
      <c r="BL85" s="84"/>
      <c r="BM85" s="84"/>
      <c r="BN85" s="84"/>
      <c r="BO85" s="84"/>
    </row>
    <row r="86" spans="1:67" ht="15.75" thickBot="1">
      <c r="A86" s="2"/>
      <c r="B86" s="23"/>
      <c r="C86" s="23"/>
      <c r="D86" s="123" t="str">
        <f t="shared" si="18"/>
        <v/>
      </c>
      <c r="E86" s="132" t="str">
        <f t="shared" si="24"/>
        <v/>
      </c>
      <c r="F86" s="124" t="str">
        <f t="shared" si="25"/>
        <v/>
      </c>
      <c r="G86" s="110" t="str">
        <f t="shared" si="19"/>
        <v/>
      </c>
      <c r="H86" s="110" t="str">
        <f t="shared" si="26"/>
        <v/>
      </c>
      <c r="I86" s="32" t="str">
        <f t="shared" si="20"/>
        <v/>
      </c>
      <c r="J86" s="84"/>
      <c r="K86" s="120" t="str">
        <f t="shared" si="21"/>
        <v/>
      </c>
      <c r="L86" s="117" t="str">
        <f t="shared" si="27"/>
        <v/>
      </c>
      <c r="M86" s="118" t="str">
        <f t="shared" si="28"/>
        <v/>
      </c>
      <c r="N86" s="119" t="str">
        <f t="shared" si="22"/>
        <v/>
      </c>
      <c r="O86" s="119" t="str">
        <f t="shared" si="29"/>
        <v/>
      </c>
      <c r="P86" s="113" t="str">
        <f t="shared" si="23"/>
        <v/>
      </c>
      <c r="Q86" s="84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  <c r="AO86" s="84"/>
      <c r="AP86" s="84"/>
      <c r="AQ86" s="84"/>
      <c r="AR86" s="84"/>
      <c r="AS86" s="84"/>
      <c r="AT86" s="84"/>
      <c r="AU86" s="84"/>
      <c r="AV86" s="84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  <c r="BH86" s="84"/>
      <c r="BI86" s="84"/>
      <c r="BJ86" s="84"/>
      <c r="BK86" s="84"/>
      <c r="BL86" s="84"/>
      <c r="BM86" s="84"/>
      <c r="BN86" s="84"/>
      <c r="BO86" s="84"/>
    </row>
    <row r="87" spans="1:67" ht="15.75" thickBot="1">
      <c r="A87" s="2"/>
      <c r="B87" s="23"/>
      <c r="C87" s="23"/>
      <c r="D87" s="123" t="str">
        <f t="shared" si="18"/>
        <v/>
      </c>
      <c r="E87" s="132" t="str">
        <f t="shared" si="24"/>
        <v/>
      </c>
      <c r="F87" s="124" t="str">
        <f t="shared" si="25"/>
        <v/>
      </c>
      <c r="G87" s="110" t="str">
        <f t="shared" si="19"/>
        <v/>
      </c>
      <c r="H87" s="110" t="str">
        <f t="shared" si="26"/>
        <v/>
      </c>
      <c r="I87" s="32" t="str">
        <f t="shared" si="20"/>
        <v/>
      </c>
      <c r="J87" s="84"/>
      <c r="K87" s="120" t="str">
        <f t="shared" si="21"/>
        <v/>
      </c>
      <c r="L87" s="117" t="str">
        <f t="shared" si="27"/>
        <v/>
      </c>
      <c r="M87" s="118" t="str">
        <f t="shared" si="28"/>
        <v/>
      </c>
      <c r="N87" s="119" t="str">
        <f t="shared" si="22"/>
        <v/>
      </c>
      <c r="O87" s="119" t="str">
        <f t="shared" si="29"/>
        <v/>
      </c>
      <c r="P87" s="113" t="str">
        <f t="shared" si="23"/>
        <v/>
      </c>
      <c r="Q87" s="84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  <c r="AO87" s="84"/>
      <c r="AP87" s="84"/>
      <c r="AQ87" s="84"/>
      <c r="AR87" s="84"/>
      <c r="AS87" s="84"/>
      <c r="AT87" s="84"/>
      <c r="AU87" s="84"/>
      <c r="AV87" s="84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  <c r="BH87" s="84"/>
      <c r="BI87" s="84"/>
      <c r="BJ87" s="84"/>
      <c r="BK87" s="84"/>
      <c r="BL87" s="84"/>
      <c r="BM87" s="84"/>
      <c r="BN87" s="84"/>
      <c r="BO87" s="84"/>
    </row>
    <row r="88" spans="1:67" ht="15.75" thickBot="1">
      <c r="A88" s="2"/>
      <c r="B88" s="23"/>
      <c r="C88" s="23"/>
      <c r="D88" s="123" t="str">
        <f t="shared" si="18"/>
        <v/>
      </c>
      <c r="E88" s="132" t="str">
        <f t="shared" si="24"/>
        <v/>
      </c>
      <c r="F88" s="124" t="str">
        <f t="shared" si="25"/>
        <v/>
      </c>
      <c r="G88" s="110" t="str">
        <f t="shared" si="19"/>
        <v/>
      </c>
      <c r="H88" s="110" t="str">
        <f t="shared" si="26"/>
        <v/>
      </c>
      <c r="I88" s="32" t="str">
        <f t="shared" si="20"/>
        <v/>
      </c>
      <c r="J88" s="84"/>
      <c r="K88" s="120" t="str">
        <f t="shared" si="21"/>
        <v/>
      </c>
      <c r="L88" s="117" t="str">
        <f t="shared" si="27"/>
        <v/>
      </c>
      <c r="M88" s="118" t="str">
        <f t="shared" si="28"/>
        <v/>
      </c>
      <c r="N88" s="119" t="str">
        <f t="shared" si="22"/>
        <v/>
      </c>
      <c r="O88" s="119" t="str">
        <f t="shared" si="29"/>
        <v/>
      </c>
      <c r="P88" s="113" t="str">
        <f t="shared" si="23"/>
        <v/>
      </c>
      <c r="Q88" s="84"/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  <c r="AC88" s="84"/>
      <c r="AD88" s="84"/>
      <c r="AE88" s="84"/>
      <c r="AF88" s="84"/>
      <c r="AG88" s="84"/>
      <c r="AH88" s="84"/>
      <c r="AI88" s="84"/>
      <c r="AJ88" s="84"/>
      <c r="AK88" s="84"/>
      <c r="AL88" s="84"/>
      <c r="AM88" s="84"/>
      <c r="AN88" s="84"/>
      <c r="AO88" s="84"/>
      <c r="AP88" s="84"/>
      <c r="AQ88" s="84"/>
      <c r="AR88" s="84"/>
      <c r="AS88" s="84"/>
      <c r="AT88" s="84"/>
      <c r="AU88" s="84"/>
      <c r="AV88" s="84"/>
      <c r="AW88" s="84"/>
      <c r="AX88" s="84"/>
      <c r="AY88" s="84"/>
      <c r="AZ88" s="84"/>
      <c r="BA88" s="84"/>
      <c r="BB88" s="84"/>
      <c r="BC88" s="84"/>
      <c r="BD88" s="84"/>
      <c r="BE88" s="84"/>
      <c r="BF88" s="84"/>
      <c r="BG88" s="84"/>
      <c r="BH88" s="84"/>
      <c r="BI88" s="84"/>
      <c r="BJ88" s="84"/>
      <c r="BK88" s="84"/>
      <c r="BL88" s="84"/>
      <c r="BM88" s="84"/>
      <c r="BN88" s="84"/>
      <c r="BO88" s="84"/>
    </row>
    <row r="89" spans="1:67" ht="15.75" thickBot="1">
      <c r="A89" s="2"/>
      <c r="B89" s="23"/>
      <c r="C89" s="23"/>
      <c r="D89" s="123" t="str">
        <f t="shared" si="18"/>
        <v/>
      </c>
      <c r="E89" s="132" t="str">
        <f t="shared" si="24"/>
        <v/>
      </c>
      <c r="F89" s="124" t="str">
        <f t="shared" si="25"/>
        <v/>
      </c>
      <c r="G89" s="110" t="str">
        <f t="shared" si="19"/>
        <v/>
      </c>
      <c r="H89" s="110" t="str">
        <f t="shared" si="26"/>
        <v/>
      </c>
      <c r="I89" s="32" t="str">
        <f t="shared" si="20"/>
        <v/>
      </c>
      <c r="J89" s="84"/>
      <c r="K89" s="120" t="str">
        <f t="shared" si="21"/>
        <v/>
      </c>
      <c r="L89" s="117" t="str">
        <f t="shared" si="27"/>
        <v/>
      </c>
      <c r="M89" s="118" t="str">
        <f t="shared" si="28"/>
        <v/>
      </c>
      <c r="N89" s="119" t="str">
        <f t="shared" si="22"/>
        <v/>
      </c>
      <c r="O89" s="119" t="str">
        <f t="shared" si="29"/>
        <v/>
      </c>
      <c r="P89" s="113" t="str">
        <f t="shared" si="23"/>
        <v/>
      </c>
      <c r="Q89" s="84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  <c r="AO89" s="84"/>
      <c r="AP89" s="84"/>
      <c r="AQ89" s="84"/>
      <c r="AR89" s="84"/>
      <c r="AS89" s="84"/>
      <c r="AT89" s="84"/>
      <c r="AU89" s="84"/>
      <c r="AV89" s="84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  <c r="BH89" s="84"/>
      <c r="BI89" s="84"/>
      <c r="BJ89" s="84"/>
      <c r="BK89" s="84"/>
      <c r="BL89" s="84"/>
      <c r="BM89" s="84"/>
      <c r="BN89" s="84"/>
      <c r="BO89" s="84"/>
    </row>
    <row r="90" spans="1:67" ht="15.75" thickBot="1">
      <c r="A90" s="2"/>
      <c r="B90" s="23"/>
      <c r="C90" s="23"/>
      <c r="D90" s="123" t="str">
        <f t="shared" si="18"/>
        <v/>
      </c>
      <c r="E90" s="132" t="str">
        <f t="shared" si="24"/>
        <v/>
      </c>
      <c r="F90" s="124" t="str">
        <f t="shared" si="25"/>
        <v/>
      </c>
      <c r="G90" s="110" t="str">
        <f t="shared" si="19"/>
        <v/>
      </c>
      <c r="H90" s="110" t="str">
        <f t="shared" si="26"/>
        <v/>
      </c>
      <c r="I90" s="32" t="str">
        <f t="shared" si="20"/>
        <v/>
      </c>
      <c r="J90" s="84"/>
      <c r="K90" s="120" t="str">
        <f t="shared" si="21"/>
        <v/>
      </c>
      <c r="L90" s="117" t="str">
        <f t="shared" si="27"/>
        <v/>
      </c>
      <c r="M90" s="118" t="str">
        <f t="shared" si="28"/>
        <v/>
      </c>
      <c r="N90" s="119" t="str">
        <f t="shared" si="22"/>
        <v/>
      </c>
      <c r="O90" s="119" t="str">
        <f t="shared" si="29"/>
        <v/>
      </c>
      <c r="P90" s="113" t="str">
        <f t="shared" si="23"/>
        <v/>
      </c>
      <c r="Q90" s="84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  <c r="AO90" s="84"/>
      <c r="AP90" s="84"/>
      <c r="AQ90" s="84"/>
      <c r="AR90" s="84"/>
      <c r="AS90" s="84"/>
      <c r="AT90" s="84"/>
      <c r="AU90" s="84"/>
      <c r="AV90" s="84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  <c r="BH90" s="84"/>
      <c r="BI90" s="84"/>
      <c r="BJ90" s="84"/>
      <c r="BK90" s="84"/>
      <c r="BL90" s="84"/>
      <c r="BM90" s="84"/>
      <c r="BN90" s="84"/>
      <c r="BO90" s="84"/>
    </row>
    <row r="91" spans="1:67" ht="15.75" thickBot="1">
      <c r="A91" s="2"/>
      <c r="B91" s="23"/>
      <c r="C91" s="23"/>
      <c r="D91" s="123" t="str">
        <f t="shared" si="18"/>
        <v/>
      </c>
      <c r="E91" s="132" t="str">
        <f t="shared" si="24"/>
        <v/>
      </c>
      <c r="F91" s="124" t="str">
        <f t="shared" si="25"/>
        <v/>
      </c>
      <c r="G91" s="110" t="str">
        <f t="shared" si="19"/>
        <v/>
      </c>
      <c r="H91" s="110" t="str">
        <f t="shared" si="26"/>
        <v/>
      </c>
      <c r="I91" s="32" t="str">
        <f t="shared" si="20"/>
        <v/>
      </c>
      <c r="J91" s="84"/>
      <c r="K91" s="120" t="str">
        <f t="shared" si="21"/>
        <v/>
      </c>
      <c r="L91" s="117" t="str">
        <f t="shared" si="27"/>
        <v/>
      </c>
      <c r="M91" s="118" t="str">
        <f t="shared" si="28"/>
        <v/>
      </c>
      <c r="N91" s="119" t="str">
        <f t="shared" si="22"/>
        <v/>
      </c>
      <c r="O91" s="119" t="str">
        <f t="shared" si="29"/>
        <v/>
      </c>
      <c r="P91" s="113" t="str">
        <f t="shared" si="23"/>
        <v/>
      </c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  <c r="AO91" s="84"/>
      <c r="AP91" s="84"/>
      <c r="AQ91" s="84"/>
      <c r="AR91" s="84"/>
      <c r="AS91" s="84"/>
      <c r="AT91" s="84"/>
      <c r="AU91" s="84"/>
      <c r="AV91" s="84"/>
      <c r="AW91" s="84"/>
      <c r="AX91" s="84"/>
      <c r="AY91" s="84"/>
      <c r="AZ91" s="84"/>
      <c r="BA91" s="84"/>
      <c r="BB91" s="84"/>
      <c r="BC91" s="84"/>
      <c r="BD91" s="84"/>
      <c r="BE91" s="84"/>
      <c r="BF91" s="84"/>
      <c r="BG91" s="84"/>
      <c r="BH91" s="84"/>
      <c r="BI91" s="84"/>
      <c r="BJ91" s="84"/>
      <c r="BK91" s="84"/>
      <c r="BL91" s="84"/>
      <c r="BM91" s="84"/>
      <c r="BN91" s="84"/>
      <c r="BO91" s="84"/>
    </row>
    <row r="92" spans="1:67" ht="15.75" thickBot="1">
      <c r="A92" s="2"/>
      <c r="B92" s="23"/>
      <c r="C92" s="23"/>
      <c r="D92" s="123" t="str">
        <f t="shared" si="18"/>
        <v/>
      </c>
      <c r="E92" s="132" t="str">
        <f t="shared" si="24"/>
        <v/>
      </c>
      <c r="F92" s="124" t="str">
        <f t="shared" si="25"/>
        <v/>
      </c>
      <c r="G92" s="110" t="str">
        <f t="shared" si="19"/>
        <v/>
      </c>
      <c r="H92" s="110" t="str">
        <f t="shared" si="26"/>
        <v/>
      </c>
      <c r="I92" s="32" t="str">
        <f t="shared" si="20"/>
        <v/>
      </c>
      <c r="J92" s="84"/>
      <c r="K92" s="120" t="str">
        <f t="shared" si="21"/>
        <v/>
      </c>
      <c r="L92" s="117" t="str">
        <f t="shared" si="27"/>
        <v/>
      </c>
      <c r="M92" s="118" t="str">
        <f t="shared" si="28"/>
        <v/>
      </c>
      <c r="N92" s="119" t="str">
        <f t="shared" si="22"/>
        <v/>
      </c>
      <c r="O92" s="119" t="str">
        <f t="shared" si="29"/>
        <v/>
      </c>
      <c r="P92" s="113" t="str">
        <f t="shared" si="23"/>
        <v/>
      </c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  <c r="AO92" s="84"/>
      <c r="AP92" s="84"/>
      <c r="AQ92" s="84"/>
      <c r="AR92" s="84"/>
      <c r="AS92" s="84"/>
      <c r="AT92" s="84"/>
      <c r="AU92" s="84"/>
      <c r="AV92" s="84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  <c r="BN92" s="84"/>
      <c r="BO92" s="84"/>
    </row>
    <row r="93" spans="1:67" ht="15.75" thickBot="1">
      <c r="A93" s="2"/>
      <c r="B93" s="23"/>
      <c r="C93" s="23"/>
      <c r="D93" s="123" t="str">
        <f t="shared" si="18"/>
        <v/>
      </c>
      <c r="E93" s="132" t="str">
        <f t="shared" si="24"/>
        <v/>
      </c>
      <c r="F93" s="124" t="str">
        <f t="shared" si="25"/>
        <v/>
      </c>
      <c r="G93" s="110" t="str">
        <f t="shared" si="19"/>
        <v/>
      </c>
      <c r="H93" s="110" t="str">
        <f t="shared" si="26"/>
        <v/>
      </c>
      <c r="I93" s="32" t="str">
        <f t="shared" si="20"/>
        <v/>
      </c>
      <c r="J93" s="84"/>
      <c r="K93" s="120" t="str">
        <f t="shared" si="21"/>
        <v/>
      </c>
      <c r="L93" s="117" t="str">
        <f t="shared" si="27"/>
        <v/>
      </c>
      <c r="M93" s="118" t="str">
        <f t="shared" si="28"/>
        <v/>
      </c>
      <c r="N93" s="119" t="str">
        <f t="shared" si="22"/>
        <v/>
      </c>
      <c r="O93" s="119" t="str">
        <f t="shared" si="29"/>
        <v/>
      </c>
      <c r="P93" s="113" t="str">
        <f t="shared" si="23"/>
        <v/>
      </c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  <c r="AN93" s="84"/>
      <c r="AO93" s="84"/>
      <c r="AP93" s="84"/>
      <c r="AQ93" s="84"/>
      <c r="AR93" s="84"/>
      <c r="AS93" s="84"/>
      <c r="AT93" s="84"/>
      <c r="AU93" s="84"/>
      <c r="AV93" s="84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  <c r="BH93" s="84"/>
      <c r="BI93" s="84"/>
      <c r="BJ93" s="84"/>
      <c r="BK93" s="84"/>
      <c r="BL93" s="84"/>
      <c r="BM93" s="84"/>
      <c r="BN93" s="84"/>
      <c r="BO93" s="84"/>
    </row>
    <row r="94" spans="1:67" ht="15.75" thickBot="1">
      <c r="A94" s="2"/>
      <c r="B94" s="23"/>
      <c r="C94" s="23"/>
      <c r="D94" s="123" t="str">
        <f t="shared" si="18"/>
        <v/>
      </c>
      <c r="E94" s="132" t="str">
        <f t="shared" si="24"/>
        <v/>
      </c>
      <c r="F94" s="124" t="str">
        <f t="shared" si="25"/>
        <v/>
      </c>
      <c r="G94" s="110" t="str">
        <f t="shared" si="19"/>
        <v/>
      </c>
      <c r="H94" s="110" t="str">
        <f t="shared" si="26"/>
        <v/>
      </c>
      <c r="I94" s="32" t="str">
        <f t="shared" si="20"/>
        <v/>
      </c>
      <c r="J94" s="84"/>
      <c r="K94" s="120" t="str">
        <f t="shared" si="21"/>
        <v/>
      </c>
      <c r="L94" s="117" t="str">
        <f t="shared" si="27"/>
        <v/>
      </c>
      <c r="M94" s="118" t="str">
        <f t="shared" si="28"/>
        <v/>
      </c>
      <c r="N94" s="119" t="str">
        <f t="shared" si="22"/>
        <v/>
      </c>
      <c r="O94" s="119" t="str">
        <f t="shared" si="29"/>
        <v/>
      </c>
      <c r="P94" s="113" t="str">
        <f t="shared" si="23"/>
        <v/>
      </c>
      <c r="Q94" s="84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4"/>
      <c r="AJ94" s="84"/>
      <c r="AK94" s="84"/>
      <c r="AL94" s="84"/>
      <c r="AM94" s="84"/>
      <c r="AN94" s="84"/>
      <c r="AO94" s="84"/>
      <c r="AP94" s="84"/>
      <c r="AQ94" s="84"/>
      <c r="AR94" s="84"/>
      <c r="AS94" s="84"/>
      <c r="AT94" s="84"/>
      <c r="AU94" s="84"/>
      <c r="AV94" s="84"/>
      <c r="AW94" s="84"/>
      <c r="AX94" s="84"/>
      <c r="AY94" s="84"/>
      <c r="AZ94" s="84"/>
      <c r="BA94" s="84"/>
      <c r="BB94" s="84"/>
      <c r="BC94" s="84"/>
      <c r="BD94" s="84"/>
      <c r="BE94" s="84"/>
      <c r="BF94" s="84"/>
      <c r="BG94" s="84"/>
      <c r="BH94" s="84"/>
      <c r="BI94" s="84"/>
      <c r="BJ94" s="84"/>
      <c r="BK94" s="84"/>
      <c r="BL94" s="84"/>
      <c r="BM94" s="84"/>
      <c r="BN94" s="84"/>
      <c r="BO94" s="84"/>
    </row>
    <row r="95" spans="1:67" ht="15.75" thickBot="1">
      <c r="A95" s="2"/>
      <c r="B95" s="23"/>
      <c r="C95" s="23"/>
      <c r="D95" s="123" t="str">
        <f t="shared" si="18"/>
        <v/>
      </c>
      <c r="E95" s="132" t="str">
        <f t="shared" si="24"/>
        <v/>
      </c>
      <c r="F95" s="124" t="str">
        <f t="shared" si="25"/>
        <v/>
      </c>
      <c r="G95" s="110" t="str">
        <f t="shared" si="19"/>
        <v/>
      </c>
      <c r="H95" s="110" t="str">
        <f t="shared" si="26"/>
        <v/>
      </c>
      <c r="I95" s="32" t="str">
        <f t="shared" si="20"/>
        <v/>
      </c>
      <c r="J95" s="84"/>
      <c r="K95" s="120" t="str">
        <f t="shared" si="21"/>
        <v/>
      </c>
      <c r="L95" s="117" t="str">
        <f t="shared" si="27"/>
        <v/>
      </c>
      <c r="M95" s="118" t="str">
        <f t="shared" si="28"/>
        <v/>
      </c>
      <c r="N95" s="119" t="str">
        <f t="shared" si="22"/>
        <v/>
      </c>
      <c r="O95" s="119" t="str">
        <f t="shared" si="29"/>
        <v/>
      </c>
      <c r="P95" s="113" t="str">
        <f t="shared" si="23"/>
        <v/>
      </c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84"/>
      <c r="AM95" s="84"/>
      <c r="AN95" s="84"/>
      <c r="AO95" s="84"/>
      <c r="AP95" s="84"/>
      <c r="AQ95" s="84"/>
      <c r="AR95" s="84"/>
      <c r="AS95" s="84"/>
      <c r="AT95" s="84"/>
      <c r="AU95" s="84"/>
      <c r="AV95" s="84"/>
      <c r="AW95" s="84"/>
      <c r="AX95" s="84"/>
      <c r="AY95" s="84"/>
      <c r="AZ95" s="84"/>
      <c r="BA95" s="84"/>
      <c r="BB95" s="84"/>
      <c r="BC95" s="84"/>
      <c r="BD95" s="84"/>
      <c r="BE95" s="84"/>
      <c r="BF95" s="84"/>
      <c r="BG95" s="84"/>
      <c r="BH95" s="84"/>
      <c r="BI95" s="84"/>
      <c r="BJ95" s="84"/>
      <c r="BK95" s="84"/>
      <c r="BL95" s="84"/>
      <c r="BM95" s="84"/>
      <c r="BN95" s="84"/>
      <c r="BO95" s="84"/>
    </row>
    <row r="96" spans="1:67" ht="15.75" thickBot="1">
      <c r="A96" s="2"/>
      <c r="B96" s="23"/>
      <c r="C96" s="23"/>
      <c r="D96" s="123" t="str">
        <f t="shared" si="18"/>
        <v/>
      </c>
      <c r="E96" s="132" t="str">
        <f t="shared" si="24"/>
        <v/>
      </c>
      <c r="F96" s="124" t="str">
        <f t="shared" si="25"/>
        <v/>
      </c>
      <c r="G96" s="110" t="str">
        <f t="shared" si="19"/>
        <v/>
      </c>
      <c r="H96" s="110" t="str">
        <f t="shared" si="26"/>
        <v/>
      </c>
      <c r="I96" s="32" t="str">
        <f t="shared" si="20"/>
        <v/>
      </c>
      <c r="J96" s="84"/>
      <c r="K96" s="120" t="str">
        <f t="shared" si="21"/>
        <v/>
      </c>
      <c r="L96" s="117" t="str">
        <f t="shared" si="27"/>
        <v/>
      </c>
      <c r="M96" s="118" t="str">
        <f t="shared" si="28"/>
        <v/>
      </c>
      <c r="N96" s="119" t="str">
        <f t="shared" si="22"/>
        <v/>
      </c>
      <c r="O96" s="119" t="str">
        <f t="shared" si="29"/>
        <v/>
      </c>
      <c r="P96" s="113" t="str">
        <f t="shared" si="23"/>
        <v/>
      </c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  <c r="AO96" s="84"/>
      <c r="AP96" s="84"/>
      <c r="AQ96" s="84"/>
      <c r="AR96" s="84"/>
      <c r="AS96" s="84"/>
      <c r="AT96" s="84"/>
      <c r="AU96" s="84"/>
      <c r="AV96" s="84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  <c r="BH96" s="84"/>
      <c r="BI96" s="84"/>
      <c r="BJ96" s="84"/>
      <c r="BK96" s="84"/>
      <c r="BL96" s="84"/>
      <c r="BM96" s="84"/>
      <c r="BN96" s="84"/>
      <c r="BO96" s="84"/>
    </row>
    <row r="97" spans="1:67" ht="15.75" thickBot="1">
      <c r="A97" s="2"/>
      <c r="B97" s="23"/>
      <c r="C97" s="23"/>
      <c r="D97" s="123" t="str">
        <f t="shared" si="18"/>
        <v/>
      </c>
      <c r="E97" s="132" t="str">
        <f t="shared" si="24"/>
        <v/>
      </c>
      <c r="F97" s="124" t="str">
        <f t="shared" si="25"/>
        <v/>
      </c>
      <c r="G97" s="110" t="str">
        <f t="shared" si="19"/>
        <v/>
      </c>
      <c r="H97" s="110" t="str">
        <f t="shared" si="26"/>
        <v/>
      </c>
      <c r="I97" s="32" t="str">
        <f t="shared" si="20"/>
        <v/>
      </c>
      <c r="J97" s="84"/>
      <c r="K97" s="120" t="str">
        <f t="shared" si="21"/>
        <v/>
      </c>
      <c r="L97" s="117" t="str">
        <f t="shared" si="27"/>
        <v/>
      </c>
      <c r="M97" s="118" t="str">
        <f t="shared" si="28"/>
        <v/>
      </c>
      <c r="N97" s="119" t="str">
        <f t="shared" si="22"/>
        <v/>
      </c>
      <c r="O97" s="119" t="str">
        <f t="shared" si="29"/>
        <v/>
      </c>
      <c r="P97" s="113" t="str">
        <f t="shared" si="23"/>
        <v/>
      </c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  <c r="AO97" s="84"/>
      <c r="AP97" s="84"/>
      <c r="AQ97" s="84"/>
      <c r="AR97" s="84"/>
      <c r="AS97" s="84"/>
      <c r="AT97" s="84"/>
      <c r="AU97" s="84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  <c r="BN97" s="84"/>
      <c r="BO97" s="84"/>
    </row>
    <row r="98" spans="1:67" ht="15.75" thickBot="1">
      <c r="A98" s="2"/>
      <c r="B98" s="23"/>
      <c r="C98" s="23"/>
      <c r="D98" s="123" t="str">
        <f t="shared" si="18"/>
        <v/>
      </c>
      <c r="E98" s="132" t="str">
        <f t="shared" si="24"/>
        <v/>
      </c>
      <c r="F98" s="124" t="str">
        <f t="shared" si="25"/>
        <v/>
      </c>
      <c r="G98" s="110" t="str">
        <f t="shared" si="19"/>
        <v/>
      </c>
      <c r="H98" s="110" t="str">
        <f t="shared" si="26"/>
        <v/>
      </c>
      <c r="I98" s="32" t="str">
        <f t="shared" si="20"/>
        <v/>
      </c>
      <c r="J98" s="84"/>
      <c r="K98" s="120" t="str">
        <f t="shared" si="21"/>
        <v/>
      </c>
      <c r="L98" s="117" t="str">
        <f t="shared" si="27"/>
        <v/>
      </c>
      <c r="M98" s="118" t="str">
        <f t="shared" si="28"/>
        <v/>
      </c>
      <c r="N98" s="119" t="str">
        <f t="shared" si="22"/>
        <v/>
      </c>
      <c r="O98" s="119" t="str">
        <f t="shared" si="29"/>
        <v/>
      </c>
      <c r="P98" s="113" t="str">
        <f t="shared" si="23"/>
        <v/>
      </c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  <c r="AO98" s="84"/>
      <c r="AP98" s="84"/>
      <c r="AQ98" s="84"/>
      <c r="AR98" s="84"/>
      <c r="AS98" s="84"/>
      <c r="AT98" s="84"/>
      <c r="AU98" s="84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  <c r="BN98" s="84"/>
      <c r="BO98" s="84"/>
    </row>
    <row r="99" spans="1:67" ht="15.75" thickBot="1">
      <c r="A99" s="2"/>
      <c r="B99" s="23"/>
      <c r="C99" s="23"/>
      <c r="D99" s="123" t="str">
        <f t="shared" si="18"/>
        <v/>
      </c>
      <c r="E99" s="132" t="str">
        <f t="shared" si="24"/>
        <v/>
      </c>
      <c r="F99" s="124" t="str">
        <f t="shared" si="25"/>
        <v/>
      </c>
      <c r="G99" s="110" t="str">
        <f t="shared" si="19"/>
        <v/>
      </c>
      <c r="H99" s="110" t="str">
        <f t="shared" si="26"/>
        <v/>
      </c>
      <c r="I99" s="32" t="str">
        <f t="shared" si="20"/>
        <v/>
      </c>
      <c r="J99" s="84"/>
      <c r="K99" s="120" t="str">
        <f t="shared" si="21"/>
        <v/>
      </c>
      <c r="L99" s="117" t="str">
        <f t="shared" si="27"/>
        <v/>
      </c>
      <c r="M99" s="118" t="str">
        <f t="shared" si="28"/>
        <v/>
      </c>
      <c r="N99" s="119" t="str">
        <f t="shared" si="22"/>
        <v/>
      </c>
      <c r="O99" s="119" t="str">
        <f t="shared" si="29"/>
        <v/>
      </c>
      <c r="P99" s="113" t="str">
        <f t="shared" si="23"/>
        <v/>
      </c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  <c r="AO99" s="84"/>
      <c r="AP99" s="84"/>
      <c r="AQ99" s="84"/>
      <c r="AR99" s="84"/>
      <c r="AS99" s="84"/>
      <c r="AT99" s="84"/>
      <c r="AU99" s="84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  <c r="BN99" s="84"/>
      <c r="BO99" s="84"/>
    </row>
    <row r="100" spans="1:67" ht="15.75" thickBot="1">
      <c r="A100" s="2"/>
      <c r="B100" s="23"/>
      <c r="C100" s="23"/>
      <c r="D100" s="123" t="str">
        <f t="shared" si="18"/>
        <v/>
      </c>
      <c r="E100" s="132" t="str">
        <f t="shared" si="24"/>
        <v/>
      </c>
      <c r="F100" s="124" t="str">
        <f t="shared" si="25"/>
        <v/>
      </c>
      <c r="G100" s="110" t="str">
        <f t="shared" si="19"/>
        <v/>
      </c>
      <c r="H100" s="110" t="str">
        <f t="shared" si="26"/>
        <v/>
      </c>
      <c r="I100" s="32" t="str">
        <f t="shared" si="20"/>
        <v/>
      </c>
      <c r="J100" s="84"/>
      <c r="K100" s="120" t="str">
        <f t="shared" si="21"/>
        <v/>
      </c>
      <c r="L100" s="117" t="str">
        <f t="shared" si="27"/>
        <v/>
      </c>
      <c r="M100" s="118" t="str">
        <f t="shared" si="28"/>
        <v/>
      </c>
      <c r="N100" s="119" t="str">
        <f t="shared" si="22"/>
        <v/>
      </c>
      <c r="O100" s="119" t="str">
        <f t="shared" si="29"/>
        <v/>
      </c>
      <c r="P100" s="113" t="str">
        <f t="shared" si="23"/>
        <v/>
      </c>
      <c r="Q100" s="84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4"/>
      <c r="AY100" s="84"/>
      <c r="AZ100" s="84"/>
      <c r="BA100" s="84"/>
      <c r="BB100" s="84"/>
      <c r="BC100" s="84"/>
      <c r="BD100" s="84"/>
      <c r="BE100" s="84"/>
      <c r="BF100" s="84"/>
      <c r="BG100" s="84"/>
      <c r="BH100" s="84"/>
      <c r="BI100" s="84"/>
      <c r="BJ100" s="84"/>
      <c r="BK100" s="84"/>
      <c r="BL100" s="84"/>
      <c r="BM100" s="84"/>
      <c r="BN100" s="84"/>
      <c r="BO100" s="84"/>
    </row>
    <row r="101" spans="1:67" ht="15.75" thickBot="1">
      <c r="A101" s="2"/>
      <c r="B101" s="23"/>
      <c r="C101" s="23"/>
      <c r="D101" s="123" t="str">
        <f t="shared" si="18"/>
        <v/>
      </c>
      <c r="E101" s="132" t="str">
        <f t="shared" si="24"/>
        <v/>
      </c>
      <c r="F101" s="124" t="str">
        <f t="shared" si="25"/>
        <v/>
      </c>
      <c r="G101" s="110" t="str">
        <f t="shared" si="19"/>
        <v/>
      </c>
      <c r="H101" s="110" t="str">
        <f t="shared" si="26"/>
        <v/>
      </c>
      <c r="I101" s="32" t="str">
        <f t="shared" si="20"/>
        <v/>
      </c>
      <c r="J101" s="84"/>
      <c r="K101" s="120" t="str">
        <f t="shared" si="21"/>
        <v/>
      </c>
      <c r="L101" s="117" t="str">
        <f t="shared" si="27"/>
        <v/>
      </c>
      <c r="M101" s="118" t="str">
        <f t="shared" si="28"/>
        <v/>
      </c>
      <c r="N101" s="119" t="str">
        <f t="shared" si="22"/>
        <v/>
      </c>
      <c r="O101" s="119" t="str">
        <f t="shared" si="29"/>
        <v/>
      </c>
      <c r="P101" s="113" t="str">
        <f t="shared" si="23"/>
        <v/>
      </c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  <c r="AO101" s="84"/>
      <c r="AP101" s="84"/>
      <c r="AQ101" s="84"/>
      <c r="AR101" s="84"/>
      <c r="AS101" s="84"/>
      <c r="AT101" s="84"/>
      <c r="AU101" s="84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  <c r="BN101" s="84"/>
      <c r="BO101" s="84"/>
    </row>
    <row r="102" spans="1:67" ht="15.75" thickBot="1">
      <c r="A102" s="2"/>
      <c r="B102" s="23"/>
      <c r="C102" s="23"/>
      <c r="D102" s="123" t="str">
        <f t="shared" si="18"/>
        <v/>
      </c>
      <c r="E102" s="132" t="str">
        <f t="shared" si="24"/>
        <v/>
      </c>
      <c r="F102" s="124" t="str">
        <f t="shared" si="25"/>
        <v/>
      </c>
      <c r="G102" s="110" t="str">
        <f t="shared" si="19"/>
        <v/>
      </c>
      <c r="H102" s="110" t="str">
        <f t="shared" si="26"/>
        <v/>
      </c>
      <c r="I102" s="32" t="str">
        <f t="shared" si="20"/>
        <v/>
      </c>
      <c r="J102" s="84"/>
      <c r="K102" s="120" t="str">
        <f t="shared" si="21"/>
        <v/>
      </c>
      <c r="L102" s="117" t="str">
        <f t="shared" si="27"/>
        <v/>
      </c>
      <c r="M102" s="118" t="str">
        <f t="shared" si="28"/>
        <v/>
      </c>
      <c r="N102" s="119" t="str">
        <f t="shared" si="22"/>
        <v/>
      </c>
      <c r="O102" s="119" t="str">
        <f t="shared" si="29"/>
        <v/>
      </c>
      <c r="P102" s="113" t="str">
        <f t="shared" si="23"/>
        <v/>
      </c>
      <c r="Q102" s="84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  <c r="AO102" s="84"/>
      <c r="AP102" s="84"/>
      <c r="AQ102" s="84"/>
      <c r="AR102" s="84"/>
      <c r="AS102" s="84"/>
      <c r="AT102" s="84"/>
      <c r="AU102" s="84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  <c r="BN102" s="84"/>
      <c r="BO102" s="84"/>
    </row>
    <row r="103" spans="1:67" ht="15.75" thickBot="1">
      <c r="A103" s="2"/>
      <c r="B103" s="23"/>
      <c r="C103" s="23"/>
      <c r="D103" s="123" t="str">
        <f t="shared" si="18"/>
        <v/>
      </c>
      <c r="E103" s="132" t="str">
        <f t="shared" si="24"/>
        <v/>
      </c>
      <c r="F103" s="124" t="str">
        <f t="shared" si="25"/>
        <v/>
      </c>
      <c r="G103" s="110" t="str">
        <f t="shared" si="19"/>
        <v/>
      </c>
      <c r="H103" s="110" t="str">
        <f t="shared" si="26"/>
        <v/>
      </c>
      <c r="I103" s="32" t="str">
        <f t="shared" si="20"/>
        <v/>
      </c>
      <c r="J103" s="84"/>
      <c r="K103" s="120" t="str">
        <f t="shared" si="21"/>
        <v/>
      </c>
      <c r="L103" s="117" t="str">
        <f t="shared" si="27"/>
        <v/>
      </c>
      <c r="M103" s="118" t="str">
        <f t="shared" si="28"/>
        <v/>
      </c>
      <c r="N103" s="119" t="str">
        <f t="shared" si="22"/>
        <v/>
      </c>
      <c r="O103" s="119" t="str">
        <f t="shared" si="29"/>
        <v/>
      </c>
      <c r="P103" s="113" t="str">
        <f t="shared" si="23"/>
        <v/>
      </c>
      <c r="Q103" s="84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  <c r="AL103" s="84"/>
      <c r="AM103" s="84"/>
      <c r="AN103" s="84"/>
      <c r="AO103" s="84"/>
      <c r="AP103" s="84"/>
      <c r="AQ103" s="84"/>
      <c r="AR103" s="84"/>
      <c r="AS103" s="84"/>
      <c r="AT103" s="84"/>
      <c r="AU103" s="84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  <c r="BN103" s="84"/>
      <c r="BO103" s="84"/>
    </row>
    <row r="104" spans="1:67" ht="15.75" thickBot="1">
      <c r="A104" s="2"/>
      <c r="B104" s="24"/>
      <c r="C104" s="24"/>
      <c r="D104" s="123" t="str">
        <f t="shared" ref="D104:D115" si="30">IF(C104&gt;0,SQRT((F104*(1-F104/C104))),"")</f>
        <v/>
      </c>
      <c r="E104" s="132" t="str">
        <f t="shared" si="24"/>
        <v/>
      </c>
      <c r="F104" s="124" t="str">
        <f t="shared" si="25"/>
        <v/>
      </c>
      <c r="G104" s="110" t="str">
        <f t="shared" ref="G104:G115" si="31">IF(C104&gt;0,F104+D104*3,"")</f>
        <v/>
      </c>
      <c r="H104" s="110" t="str">
        <f t="shared" si="26"/>
        <v/>
      </c>
      <c r="I104" s="32" t="str">
        <f t="shared" ref="I104:I115" si="32">IF(C104&gt;0,F104-D104*3,"")</f>
        <v/>
      </c>
      <c r="J104" s="84"/>
      <c r="K104" s="120" t="str">
        <f t="shared" ref="K104:K115" si="33">IF(C104&gt;0,SQRT((M104*(1-M104))/($M$2)),"")</f>
        <v/>
      </c>
      <c r="L104" s="117" t="str">
        <f t="shared" si="27"/>
        <v/>
      </c>
      <c r="M104" s="118" t="str">
        <f t="shared" si="28"/>
        <v/>
      </c>
      <c r="N104" s="119" t="str">
        <f t="shared" ref="N104:N115" si="34">IF(C104&gt;0,M104+K104*3,"")</f>
        <v/>
      </c>
      <c r="O104" s="119" t="str">
        <f t="shared" si="29"/>
        <v/>
      </c>
      <c r="P104" s="113" t="str">
        <f t="shared" ref="P104:P115" si="35">IF(C104&gt;0,M104-K104*3,"")</f>
        <v/>
      </c>
      <c r="Q104" s="84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  <c r="AO104" s="84"/>
      <c r="AP104" s="84"/>
      <c r="AQ104" s="84"/>
      <c r="AR104" s="84"/>
      <c r="AS104" s="84"/>
      <c r="AT104" s="84"/>
      <c r="AU104" s="84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  <c r="BN104" s="84"/>
      <c r="BO104" s="84"/>
    </row>
    <row r="105" spans="1:67" ht="15.75" thickBot="1">
      <c r="A105" s="2"/>
      <c r="B105" s="24"/>
      <c r="C105" s="24"/>
      <c r="D105" s="123" t="str">
        <f t="shared" si="30"/>
        <v/>
      </c>
      <c r="E105" s="132" t="str">
        <f t="shared" si="24"/>
        <v/>
      </c>
      <c r="F105" s="124" t="str">
        <f t="shared" si="25"/>
        <v/>
      </c>
      <c r="G105" s="110" t="str">
        <f t="shared" si="31"/>
        <v/>
      </c>
      <c r="H105" s="110" t="str">
        <f t="shared" si="26"/>
        <v/>
      </c>
      <c r="I105" s="32" t="str">
        <f t="shared" si="32"/>
        <v/>
      </c>
      <c r="J105" s="84"/>
      <c r="K105" s="120" t="str">
        <f t="shared" si="33"/>
        <v/>
      </c>
      <c r="L105" s="117" t="str">
        <f t="shared" si="27"/>
        <v/>
      </c>
      <c r="M105" s="118" t="str">
        <f t="shared" si="28"/>
        <v/>
      </c>
      <c r="N105" s="119" t="str">
        <f t="shared" si="34"/>
        <v/>
      </c>
      <c r="O105" s="119" t="str">
        <f t="shared" si="29"/>
        <v/>
      </c>
      <c r="P105" s="113" t="str">
        <f t="shared" si="35"/>
        <v/>
      </c>
      <c r="Q105" s="84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  <c r="AO105" s="84"/>
      <c r="AP105" s="84"/>
      <c r="AQ105" s="84"/>
      <c r="AR105" s="84"/>
      <c r="AS105" s="84"/>
      <c r="AT105" s="84"/>
      <c r="AU105" s="84"/>
      <c r="AV105" s="84"/>
      <c r="AW105" s="84"/>
      <c r="AX105" s="84"/>
      <c r="AY105" s="84"/>
      <c r="AZ105" s="84"/>
      <c r="BA105" s="84"/>
      <c r="BB105" s="84"/>
      <c r="BC105" s="84"/>
      <c r="BD105" s="84"/>
      <c r="BE105" s="84"/>
      <c r="BF105" s="84"/>
      <c r="BG105" s="84"/>
      <c r="BH105" s="84"/>
      <c r="BI105" s="84"/>
      <c r="BJ105" s="84"/>
      <c r="BK105" s="84"/>
      <c r="BL105" s="84"/>
      <c r="BM105" s="84"/>
      <c r="BN105" s="84"/>
      <c r="BO105" s="84"/>
    </row>
    <row r="106" spans="1:67" ht="15.75" thickBot="1">
      <c r="A106" s="2"/>
      <c r="B106" s="24"/>
      <c r="C106" s="24"/>
      <c r="D106" s="123" t="str">
        <f t="shared" si="30"/>
        <v/>
      </c>
      <c r="E106" s="132" t="str">
        <f t="shared" si="24"/>
        <v/>
      </c>
      <c r="F106" s="124" t="str">
        <f t="shared" si="25"/>
        <v/>
      </c>
      <c r="G106" s="110" t="str">
        <f t="shared" si="31"/>
        <v/>
      </c>
      <c r="H106" s="110" t="str">
        <f t="shared" si="26"/>
        <v/>
      </c>
      <c r="I106" s="32" t="str">
        <f t="shared" si="32"/>
        <v/>
      </c>
      <c r="J106" s="84"/>
      <c r="K106" s="120" t="str">
        <f t="shared" si="33"/>
        <v/>
      </c>
      <c r="L106" s="117" t="str">
        <f t="shared" si="27"/>
        <v/>
      </c>
      <c r="M106" s="118" t="str">
        <f t="shared" si="28"/>
        <v/>
      </c>
      <c r="N106" s="119" t="str">
        <f t="shared" si="34"/>
        <v/>
      </c>
      <c r="O106" s="119" t="str">
        <f t="shared" si="29"/>
        <v/>
      </c>
      <c r="P106" s="113" t="str">
        <f t="shared" si="35"/>
        <v/>
      </c>
      <c r="Q106" s="84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  <c r="AO106" s="84"/>
      <c r="AP106" s="84"/>
      <c r="AQ106" s="84"/>
      <c r="AR106" s="84"/>
      <c r="AS106" s="84"/>
      <c r="AT106" s="84"/>
      <c r="AU106" s="84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  <c r="BN106" s="84"/>
      <c r="BO106" s="84"/>
    </row>
    <row r="107" spans="1:67" ht="15.75" thickBot="1">
      <c r="A107" s="2"/>
      <c r="B107" s="24"/>
      <c r="C107" s="24"/>
      <c r="D107" s="123" t="str">
        <f t="shared" si="30"/>
        <v/>
      </c>
      <c r="E107" s="132" t="str">
        <f t="shared" si="24"/>
        <v/>
      </c>
      <c r="F107" s="124" t="str">
        <f t="shared" si="25"/>
        <v/>
      </c>
      <c r="G107" s="110" t="str">
        <f t="shared" si="31"/>
        <v/>
      </c>
      <c r="H107" s="110" t="str">
        <f t="shared" si="26"/>
        <v/>
      </c>
      <c r="I107" s="32" t="str">
        <f t="shared" si="32"/>
        <v/>
      </c>
      <c r="J107" s="84"/>
      <c r="K107" s="120" t="str">
        <f t="shared" si="33"/>
        <v/>
      </c>
      <c r="L107" s="117" t="str">
        <f t="shared" si="27"/>
        <v/>
      </c>
      <c r="M107" s="118" t="str">
        <f t="shared" si="28"/>
        <v/>
      </c>
      <c r="N107" s="119" t="str">
        <f t="shared" si="34"/>
        <v/>
      </c>
      <c r="O107" s="119" t="str">
        <f t="shared" si="29"/>
        <v/>
      </c>
      <c r="P107" s="113" t="str">
        <f t="shared" si="35"/>
        <v/>
      </c>
      <c r="Q107" s="84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  <c r="AO107" s="84"/>
      <c r="AP107" s="84"/>
      <c r="AQ107" s="84"/>
      <c r="AR107" s="84"/>
      <c r="AS107" s="84"/>
      <c r="AT107" s="84"/>
      <c r="AU107" s="84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  <c r="BN107" s="84"/>
      <c r="BO107" s="84"/>
    </row>
    <row r="108" spans="1:67" ht="15.75" thickBot="1">
      <c r="A108" s="2"/>
      <c r="B108" s="24"/>
      <c r="C108" s="24"/>
      <c r="D108" s="123" t="str">
        <f t="shared" si="30"/>
        <v/>
      </c>
      <c r="E108" s="132" t="str">
        <f t="shared" si="24"/>
        <v/>
      </c>
      <c r="F108" s="124" t="str">
        <f t="shared" si="25"/>
        <v/>
      </c>
      <c r="G108" s="110" t="str">
        <f t="shared" si="31"/>
        <v/>
      </c>
      <c r="H108" s="110" t="str">
        <f t="shared" si="26"/>
        <v/>
      </c>
      <c r="I108" s="32" t="str">
        <f t="shared" si="32"/>
        <v/>
      </c>
      <c r="J108" s="84"/>
      <c r="K108" s="120" t="str">
        <f t="shared" si="33"/>
        <v/>
      </c>
      <c r="L108" s="117" t="str">
        <f t="shared" si="27"/>
        <v/>
      </c>
      <c r="M108" s="118" t="str">
        <f t="shared" si="28"/>
        <v/>
      </c>
      <c r="N108" s="119" t="str">
        <f t="shared" si="34"/>
        <v/>
      </c>
      <c r="O108" s="119" t="str">
        <f t="shared" si="29"/>
        <v/>
      </c>
      <c r="P108" s="113" t="str">
        <f t="shared" si="35"/>
        <v/>
      </c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  <c r="AC108" s="84"/>
      <c r="AD108" s="84"/>
      <c r="AE108" s="84"/>
      <c r="AF108" s="84"/>
      <c r="AG108" s="84"/>
      <c r="AH108" s="84"/>
      <c r="AI108" s="84"/>
      <c r="AJ108" s="84"/>
      <c r="AK108" s="84"/>
      <c r="AL108" s="84"/>
      <c r="AM108" s="84"/>
      <c r="AN108" s="84"/>
      <c r="AO108" s="84"/>
      <c r="AP108" s="84"/>
      <c r="AQ108" s="84"/>
      <c r="AR108" s="84"/>
      <c r="AS108" s="84"/>
      <c r="AT108" s="84"/>
      <c r="AU108" s="84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  <c r="BN108" s="84"/>
      <c r="BO108" s="84"/>
    </row>
    <row r="109" spans="1:67" ht="15.75" thickBot="1">
      <c r="A109" s="2"/>
      <c r="B109" s="24"/>
      <c r="C109" s="24"/>
      <c r="D109" s="123" t="str">
        <f t="shared" si="30"/>
        <v/>
      </c>
      <c r="E109" s="132" t="str">
        <f t="shared" si="24"/>
        <v/>
      </c>
      <c r="F109" s="124" t="str">
        <f t="shared" si="25"/>
        <v/>
      </c>
      <c r="G109" s="110" t="str">
        <f t="shared" si="31"/>
        <v/>
      </c>
      <c r="H109" s="110" t="str">
        <f t="shared" si="26"/>
        <v/>
      </c>
      <c r="I109" s="32" t="str">
        <f t="shared" si="32"/>
        <v/>
      </c>
      <c r="J109" s="84"/>
      <c r="K109" s="120" t="str">
        <f t="shared" si="33"/>
        <v/>
      </c>
      <c r="L109" s="117" t="str">
        <f t="shared" si="27"/>
        <v/>
      </c>
      <c r="M109" s="118" t="str">
        <f t="shared" si="28"/>
        <v/>
      </c>
      <c r="N109" s="119" t="str">
        <f t="shared" si="34"/>
        <v/>
      </c>
      <c r="O109" s="119" t="str">
        <f t="shared" si="29"/>
        <v/>
      </c>
      <c r="P109" s="113" t="str">
        <f t="shared" si="35"/>
        <v/>
      </c>
      <c r="Q109" s="84"/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  <c r="AC109" s="84"/>
      <c r="AD109" s="84"/>
      <c r="AE109" s="84"/>
      <c r="AF109" s="84"/>
      <c r="AG109" s="84"/>
      <c r="AH109" s="84"/>
      <c r="AI109" s="84"/>
      <c r="AJ109" s="84"/>
      <c r="AK109" s="84"/>
      <c r="AL109" s="84"/>
      <c r="AM109" s="84"/>
      <c r="AN109" s="84"/>
      <c r="AO109" s="84"/>
      <c r="AP109" s="84"/>
      <c r="AQ109" s="84"/>
      <c r="AR109" s="84"/>
      <c r="AS109" s="84"/>
      <c r="AT109" s="84"/>
      <c r="AU109" s="84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  <c r="BN109" s="84"/>
      <c r="BO109" s="84"/>
    </row>
    <row r="110" spans="1:67" ht="15.75" thickBot="1">
      <c r="A110" s="2"/>
      <c r="B110" s="24"/>
      <c r="C110" s="24"/>
      <c r="D110" s="123" t="str">
        <f t="shared" si="30"/>
        <v/>
      </c>
      <c r="E110" s="132" t="str">
        <f t="shared" si="24"/>
        <v/>
      </c>
      <c r="F110" s="124" t="str">
        <f t="shared" si="25"/>
        <v/>
      </c>
      <c r="G110" s="110" t="str">
        <f t="shared" si="31"/>
        <v/>
      </c>
      <c r="H110" s="110" t="str">
        <f t="shared" si="26"/>
        <v/>
      </c>
      <c r="I110" s="32" t="str">
        <f t="shared" si="32"/>
        <v/>
      </c>
      <c r="J110" s="84"/>
      <c r="K110" s="120" t="str">
        <f t="shared" si="33"/>
        <v/>
      </c>
      <c r="L110" s="117" t="str">
        <f t="shared" si="27"/>
        <v/>
      </c>
      <c r="M110" s="118" t="str">
        <f t="shared" si="28"/>
        <v/>
      </c>
      <c r="N110" s="119" t="str">
        <f t="shared" si="34"/>
        <v/>
      </c>
      <c r="O110" s="119" t="str">
        <f t="shared" si="29"/>
        <v/>
      </c>
      <c r="P110" s="113" t="str">
        <f t="shared" si="35"/>
        <v/>
      </c>
      <c r="Q110" s="84"/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  <c r="AL110" s="84"/>
      <c r="AM110" s="84"/>
      <c r="AN110" s="84"/>
      <c r="AO110" s="84"/>
      <c r="AP110" s="84"/>
      <c r="AQ110" s="84"/>
      <c r="AR110" s="84"/>
      <c r="AS110" s="84"/>
      <c r="AT110" s="84"/>
      <c r="AU110" s="84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  <c r="BN110" s="84"/>
      <c r="BO110" s="84"/>
    </row>
    <row r="111" spans="1:67" ht="15.75" thickBot="1">
      <c r="A111" s="2"/>
      <c r="B111" s="24"/>
      <c r="C111" s="24"/>
      <c r="D111" s="123" t="str">
        <f t="shared" si="30"/>
        <v/>
      </c>
      <c r="E111" s="132" t="str">
        <f t="shared" si="24"/>
        <v/>
      </c>
      <c r="F111" s="124" t="str">
        <f t="shared" si="25"/>
        <v/>
      </c>
      <c r="G111" s="110" t="str">
        <f t="shared" si="31"/>
        <v/>
      </c>
      <c r="H111" s="110" t="str">
        <f t="shared" si="26"/>
        <v/>
      </c>
      <c r="I111" s="32" t="str">
        <f t="shared" si="32"/>
        <v/>
      </c>
      <c r="J111" s="84"/>
      <c r="K111" s="120" t="str">
        <f t="shared" si="33"/>
        <v/>
      </c>
      <c r="L111" s="117" t="str">
        <f t="shared" si="27"/>
        <v/>
      </c>
      <c r="M111" s="118" t="str">
        <f t="shared" si="28"/>
        <v/>
      </c>
      <c r="N111" s="119" t="str">
        <f t="shared" si="34"/>
        <v/>
      </c>
      <c r="O111" s="119" t="str">
        <f t="shared" si="29"/>
        <v/>
      </c>
      <c r="P111" s="113" t="str">
        <f t="shared" si="35"/>
        <v/>
      </c>
      <c r="Q111" s="84"/>
      <c r="R111" s="84"/>
      <c r="S111" s="84"/>
      <c r="T111" s="84"/>
      <c r="U111" s="84"/>
      <c r="V111" s="84"/>
      <c r="W111" s="84"/>
      <c r="X111" s="84"/>
      <c r="Y111" s="84"/>
      <c r="Z111" s="84"/>
      <c r="AA111" s="84"/>
      <c r="AB111" s="84"/>
      <c r="AC111" s="84"/>
      <c r="AD111" s="84"/>
      <c r="AE111" s="84"/>
      <c r="AF111" s="84"/>
      <c r="AG111" s="84"/>
      <c r="AH111" s="84"/>
      <c r="AI111" s="84"/>
      <c r="AJ111" s="84"/>
      <c r="AK111" s="84"/>
      <c r="AL111" s="84"/>
      <c r="AM111" s="84"/>
      <c r="AN111" s="84"/>
      <c r="AO111" s="84"/>
      <c r="AP111" s="84"/>
      <c r="AQ111" s="84"/>
      <c r="AR111" s="84"/>
      <c r="AS111" s="84"/>
      <c r="AT111" s="84"/>
      <c r="AU111" s="84"/>
      <c r="AV111" s="84"/>
      <c r="AW111" s="84"/>
      <c r="AX111" s="84"/>
      <c r="AY111" s="84"/>
      <c r="AZ111" s="84"/>
      <c r="BA111" s="84"/>
      <c r="BB111" s="84"/>
      <c r="BC111" s="84"/>
      <c r="BD111" s="84"/>
      <c r="BE111" s="84"/>
      <c r="BF111" s="84"/>
      <c r="BG111" s="84"/>
      <c r="BH111" s="84"/>
      <c r="BI111" s="84"/>
      <c r="BJ111" s="84"/>
      <c r="BK111" s="84"/>
      <c r="BL111" s="84"/>
      <c r="BM111" s="84"/>
      <c r="BN111" s="84"/>
      <c r="BO111" s="84"/>
    </row>
    <row r="112" spans="1:67" ht="15.75" thickBot="1">
      <c r="A112" s="2"/>
      <c r="B112" s="24"/>
      <c r="C112" s="24"/>
      <c r="D112" s="123" t="str">
        <f t="shared" si="30"/>
        <v/>
      </c>
      <c r="E112" s="132" t="str">
        <f t="shared" si="24"/>
        <v/>
      </c>
      <c r="F112" s="124" t="str">
        <f t="shared" si="25"/>
        <v/>
      </c>
      <c r="G112" s="110" t="str">
        <f t="shared" si="31"/>
        <v/>
      </c>
      <c r="H112" s="110" t="str">
        <f t="shared" si="26"/>
        <v/>
      </c>
      <c r="I112" s="32" t="str">
        <f t="shared" si="32"/>
        <v/>
      </c>
      <c r="J112" s="84"/>
      <c r="K112" s="120" t="str">
        <f t="shared" si="33"/>
        <v/>
      </c>
      <c r="L112" s="117" t="str">
        <f t="shared" si="27"/>
        <v/>
      </c>
      <c r="M112" s="118" t="str">
        <f t="shared" si="28"/>
        <v/>
      </c>
      <c r="N112" s="119" t="str">
        <f t="shared" si="34"/>
        <v/>
      </c>
      <c r="O112" s="119" t="str">
        <f t="shared" si="29"/>
        <v/>
      </c>
      <c r="P112" s="113" t="str">
        <f t="shared" si="35"/>
        <v/>
      </c>
      <c r="Q112" s="84"/>
      <c r="R112" s="84"/>
      <c r="S112" s="84"/>
      <c r="T112" s="84"/>
      <c r="U112" s="84"/>
      <c r="V112" s="84"/>
      <c r="W112" s="84"/>
      <c r="X112" s="84"/>
      <c r="Y112" s="84"/>
      <c r="Z112" s="84"/>
      <c r="AA112" s="84"/>
      <c r="AB112" s="84"/>
      <c r="AC112" s="84"/>
      <c r="AD112" s="84"/>
      <c r="AE112" s="84"/>
      <c r="AF112" s="84"/>
      <c r="AG112" s="84"/>
      <c r="AH112" s="84"/>
      <c r="AI112" s="84"/>
      <c r="AJ112" s="84"/>
      <c r="AK112" s="84"/>
      <c r="AL112" s="84"/>
      <c r="AM112" s="84"/>
      <c r="AN112" s="84"/>
      <c r="AO112" s="84"/>
      <c r="AP112" s="84"/>
      <c r="AQ112" s="84"/>
      <c r="AR112" s="84"/>
      <c r="AS112" s="84"/>
      <c r="AT112" s="84"/>
      <c r="AU112" s="84"/>
      <c r="AV112" s="84"/>
      <c r="AW112" s="84"/>
      <c r="AX112" s="84"/>
      <c r="AY112" s="84"/>
      <c r="AZ112" s="84"/>
      <c r="BA112" s="84"/>
      <c r="BB112" s="84"/>
      <c r="BC112" s="84"/>
      <c r="BD112" s="84"/>
      <c r="BE112" s="84"/>
      <c r="BF112" s="84"/>
      <c r="BG112" s="84"/>
      <c r="BH112" s="84"/>
      <c r="BI112" s="84"/>
      <c r="BJ112" s="84"/>
      <c r="BK112" s="84"/>
      <c r="BL112" s="84"/>
      <c r="BM112" s="84"/>
      <c r="BN112" s="84"/>
      <c r="BO112" s="84"/>
    </row>
    <row r="113" spans="1:67" ht="15.75" thickBot="1">
      <c r="A113" s="2"/>
      <c r="B113" s="24"/>
      <c r="C113" s="24"/>
      <c r="D113" s="123" t="str">
        <f t="shared" si="30"/>
        <v/>
      </c>
      <c r="E113" s="132" t="str">
        <f t="shared" si="24"/>
        <v/>
      </c>
      <c r="F113" s="124" t="str">
        <f t="shared" si="25"/>
        <v/>
      </c>
      <c r="G113" s="110" t="str">
        <f t="shared" si="31"/>
        <v/>
      </c>
      <c r="H113" s="110" t="str">
        <f t="shared" si="26"/>
        <v/>
      </c>
      <c r="I113" s="32" t="str">
        <f t="shared" si="32"/>
        <v/>
      </c>
      <c r="J113" s="84"/>
      <c r="K113" s="120" t="str">
        <f t="shared" si="33"/>
        <v/>
      </c>
      <c r="L113" s="117" t="str">
        <f t="shared" si="27"/>
        <v/>
      </c>
      <c r="M113" s="118" t="str">
        <f t="shared" si="28"/>
        <v/>
      </c>
      <c r="N113" s="119" t="str">
        <f t="shared" si="34"/>
        <v/>
      </c>
      <c r="O113" s="119" t="str">
        <f t="shared" si="29"/>
        <v/>
      </c>
      <c r="P113" s="113" t="str">
        <f t="shared" si="35"/>
        <v/>
      </c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  <c r="AL113" s="84"/>
      <c r="AM113" s="84"/>
      <c r="AN113" s="84"/>
      <c r="AO113" s="84"/>
      <c r="AP113" s="84"/>
      <c r="AQ113" s="84"/>
      <c r="AR113" s="84"/>
      <c r="AS113" s="84"/>
      <c r="AT113" s="84"/>
      <c r="AU113" s="84"/>
      <c r="AV113" s="84"/>
      <c r="AW113" s="84"/>
      <c r="AX113" s="84"/>
      <c r="AY113" s="84"/>
      <c r="AZ113" s="84"/>
      <c r="BA113" s="84"/>
      <c r="BB113" s="84"/>
      <c r="BC113" s="84"/>
      <c r="BD113" s="84"/>
      <c r="BE113" s="84"/>
      <c r="BF113" s="84"/>
      <c r="BG113" s="84"/>
      <c r="BH113" s="84"/>
      <c r="BI113" s="84"/>
      <c r="BJ113" s="84"/>
      <c r="BK113" s="84"/>
      <c r="BL113" s="84"/>
      <c r="BM113" s="84"/>
      <c r="BN113" s="84"/>
      <c r="BO113" s="84"/>
    </row>
    <row r="114" spans="1:67" ht="15.75" thickBot="1">
      <c r="A114" s="2"/>
      <c r="B114" s="24"/>
      <c r="C114" s="24"/>
      <c r="D114" s="123" t="str">
        <f t="shared" si="30"/>
        <v/>
      </c>
      <c r="E114" s="132" t="str">
        <f t="shared" si="24"/>
        <v/>
      </c>
      <c r="F114" s="124" t="str">
        <f t="shared" si="25"/>
        <v/>
      </c>
      <c r="G114" s="110" t="str">
        <f t="shared" si="31"/>
        <v/>
      </c>
      <c r="H114" s="110" t="str">
        <f t="shared" si="26"/>
        <v/>
      </c>
      <c r="I114" s="32" t="str">
        <f t="shared" si="32"/>
        <v/>
      </c>
      <c r="J114" s="84"/>
      <c r="K114" s="120" t="str">
        <f t="shared" si="33"/>
        <v/>
      </c>
      <c r="L114" s="117" t="str">
        <f t="shared" si="27"/>
        <v/>
      </c>
      <c r="M114" s="118" t="str">
        <f t="shared" si="28"/>
        <v/>
      </c>
      <c r="N114" s="119" t="str">
        <f t="shared" si="34"/>
        <v/>
      </c>
      <c r="O114" s="119" t="str">
        <f t="shared" si="29"/>
        <v/>
      </c>
      <c r="P114" s="113" t="str">
        <f t="shared" si="35"/>
        <v/>
      </c>
      <c r="Q114" s="84"/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  <c r="AL114" s="84"/>
      <c r="AM114" s="84"/>
      <c r="AN114" s="84"/>
      <c r="AO114" s="84"/>
      <c r="AP114" s="84"/>
      <c r="AQ114" s="84"/>
      <c r="AR114" s="84"/>
      <c r="AS114" s="84"/>
      <c r="AT114" s="84"/>
      <c r="AU114" s="84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  <c r="BN114" s="84"/>
      <c r="BO114" s="84"/>
    </row>
    <row r="115" spans="1:67" ht="15.75" thickBot="1">
      <c r="A115" s="2"/>
      <c r="B115" s="24"/>
      <c r="C115" s="24"/>
      <c r="D115" s="123" t="str">
        <f t="shared" si="30"/>
        <v/>
      </c>
      <c r="E115" s="132" t="str">
        <f t="shared" si="24"/>
        <v/>
      </c>
      <c r="F115" s="124" t="str">
        <f t="shared" si="25"/>
        <v/>
      </c>
      <c r="G115" s="110" t="str">
        <f t="shared" si="31"/>
        <v/>
      </c>
      <c r="H115" s="110" t="str">
        <f t="shared" si="26"/>
        <v/>
      </c>
      <c r="I115" s="32" t="str">
        <f t="shared" si="32"/>
        <v/>
      </c>
      <c r="J115" s="84"/>
      <c r="K115" s="120" t="str">
        <f t="shared" si="33"/>
        <v/>
      </c>
      <c r="L115" s="117" t="str">
        <f t="shared" si="27"/>
        <v/>
      </c>
      <c r="M115" s="118" t="str">
        <f t="shared" si="28"/>
        <v/>
      </c>
      <c r="N115" s="119" t="str">
        <f t="shared" si="34"/>
        <v/>
      </c>
      <c r="O115" s="119" t="str">
        <f t="shared" si="29"/>
        <v/>
      </c>
      <c r="P115" s="113" t="str">
        <f t="shared" si="35"/>
        <v/>
      </c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  <c r="AL115" s="84"/>
      <c r="AM115" s="84"/>
      <c r="AN115" s="84"/>
      <c r="AO115" s="84"/>
      <c r="AP115" s="84"/>
      <c r="AQ115" s="84"/>
      <c r="AR115" s="84"/>
      <c r="AS115" s="84"/>
      <c r="AT115" s="84"/>
      <c r="AU115" s="84"/>
      <c r="AV115" s="84"/>
      <c r="AW115" s="84"/>
      <c r="AX115" s="84"/>
      <c r="AY115" s="84"/>
      <c r="AZ115" s="84"/>
      <c r="BA115" s="84"/>
      <c r="BB115" s="84"/>
      <c r="BC115" s="84"/>
      <c r="BD115" s="84"/>
      <c r="BE115" s="84"/>
      <c r="BF115" s="84"/>
      <c r="BG115" s="84"/>
      <c r="BH115" s="84"/>
      <c r="BI115" s="84"/>
      <c r="BJ115" s="84"/>
      <c r="BK115" s="84"/>
      <c r="BL115" s="84"/>
      <c r="BM115" s="84"/>
      <c r="BN115" s="84"/>
      <c r="BO115" s="84"/>
    </row>
    <row r="116" spans="1:67">
      <c r="A116" s="84"/>
      <c r="B116" s="84"/>
      <c r="C116" s="84"/>
      <c r="D116" s="84"/>
      <c r="E116" s="84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  <c r="AL116" s="84"/>
      <c r="AM116" s="84"/>
      <c r="AN116" s="84"/>
      <c r="AO116" s="84"/>
      <c r="AP116" s="84"/>
      <c r="AQ116" s="84"/>
      <c r="AR116" s="84"/>
      <c r="AS116" s="84"/>
      <c r="AT116" s="84"/>
      <c r="AU116" s="84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  <c r="BN116" s="84"/>
      <c r="BO116" s="84"/>
    </row>
    <row r="117" spans="1:67">
      <c r="A117" s="84"/>
      <c r="B117" s="84"/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84"/>
      <c r="AD117" s="84"/>
      <c r="AE117" s="84"/>
      <c r="AF117" s="84"/>
      <c r="AG117" s="84"/>
      <c r="AH117" s="84"/>
      <c r="AI117" s="84"/>
      <c r="AJ117" s="84"/>
      <c r="AK117" s="84"/>
      <c r="AL117" s="84"/>
      <c r="AM117" s="84"/>
      <c r="AN117" s="84"/>
      <c r="AO117" s="84"/>
      <c r="AP117" s="84"/>
      <c r="AQ117" s="84"/>
      <c r="AR117" s="84"/>
      <c r="AS117" s="84"/>
      <c r="AT117" s="84"/>
      <c r="AU117" s="84"/>
      <c r="AV117" s="84"/>
      <c r="AW117" s="84"/>
      <c r="AX117" s="84"/>
      <c r="AY117" s="84"/>
      <c r="AZ117" s="84"/>
      <c r="BA117" s="84"/>
      <c r="BB117" s="84"/>
      <c r="BC117" s="84"/>
      <c r="BD117" s="84"/>
      <c r="BE117" s="84"/>
      <c r="BF117" s="84"/>
      <c r="BG117" s="84"/>
      <c r="BH117" s="84"/>
      <c r="BI117" s="84"/>
      <c r="BJ117" s="84"/>
      <c r="BK117" s="84"/>
      <c r="BL117" s="84"/>
      <c r="BM117" s="84"/>
      <c r="BN117" s="84"/>
      <c r="BO117" s="84"/>
    </row>
    <row r="118" spans="1:67">
      <c r="A118" s="84"/>
      <c r="B118" s="84"/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</row>
    <row r="119" spans="1:67">
      <c r="A119" s="84"/>
      <c r="B119" s="84"/>
      <c r="C119" s="84"/>
      <c r="D119" s="84"/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  <c r="AL119" s="84"/>
      <c r="AM119" s="84"/>
      <c r="AN119" s="84"/>
      <c r="AO119" s="84"/>
      <c r="AP119" s="84"/>
      <c r="AQ119" s="84"/>
      <c r="AR119" s="84"/>
      <c r="AS119" s="84"/>
      <c r="AT119" s="84"/>
      <c r="AU119" s="84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  <c r="BN119" s="84"/>
      <c r="BO119" s="84"/>
    </row>
    <row r="120" spans="1:67">
      <c r="A120" s="84"/>
      <c r="B120" s="84"/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  <c r="AL120" s="84"/>
      <c r="AM120" s="84"/>
      <c r="AN120" s="84"/>
      <c r="AO120" s="84"/>
      <c r="AP120" s="84"/>
      <c r="AQ120" s="84"/>
      <c r="AR120" s="84"/>
      <c r="AS120" s="84"/>
      <c r="AT120" s="84"/>
      <c r="AU120" s="84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</row>
    <row r="121" spans="1:67">
      <c r="A121" s="84"/>
      <c r="B121" s="84"/>
      <c r="C121" s="84"/>
      <c r="D121" s="84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  <c r="AL121" s="84"/>
      <c r="AM121" s="84"/>
      <c r="AN121" s="84"/>
      <c r="AO121" s="84"/>
      <c r="AP121" s="84"/>
      <c r="AQ121" s="84"/>
      <c r="AR121" s="84"/>
      <c r="AS121" s="84"/>
      <c r="AT121" s="84"/>
      <c r="AU121" s="84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  <c r="BN121" s="84"/>
      <c r="BO121" s="84"/>
    </row>
    <row r="122" spans="1:67">
      <c r="A122" s="84"/>
      <c r="B122" s="84"/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  <c r="W122" s="84"/>
      <c r="X122" s="84"/>
      <c r="Y122" s="84"/>
      <c r="Z122" s="84"/>
      <c r="AA122" s="84"/>
      <c r="AB122" s="84"/>
      <c r="AC122" s="84"/>
      <c r="AD122" s="84"/>
      <c r="AE122" s="84"/>
      <c r="AF122" s="84"/>
      <c r="AG122" s="84"/>
      <c r="AH122" s="84"/>
      <c r="AI122" s="84"/>
      <c r="AJ122" s="84"/>
      <c r="AK122" s="84"/>
      <c r="AL122" s="84"/>
      <c r="AM122" s="84"/>
      <c r="AN122" s="84"/>
      <c r="AO122" s="84"/>
      <c r="AP122" s="84"/>
      <c r="AQ122" s="84"/>
      <c r="AR122" s="84"/>
      <c r="AS122" s="84"/>
      <c r="AT122" s="84"/>
      <c r="AU122" s="84"/>
      <c r="AV122" s="84"/>
      <c r="AW122" s="84"/>
      <c r="AX122" s="84"/>
      <c r="AY122" s="84"/>
      <c r="AZ122" s="84"/>
      <c r="BA122" s="84"/>
      <c r="BB122" s="84"/>
      <c r="BC122" s="84"/>
      <c r="BD122" s="84"/>
      <c r="BE122" s="84"/>
      <c r="BF122" s="84"/>
      <c r="BG122" s="84"/>
      <c r="BH122" s="84"/>
      <c r="BI122" s="84"/>
      <c r="BJ122" s="84"/>
      <c r="BK122" s="84"/>
      <c r="BL122" s="84"/>
      <c r="BM122" s="84"/>
      <c r="BN122" s="84"/>
      <c r="BO122" s="84"/>
    </row>
    <row r="123" spans="1:67">
      <c r="A123" s="84"/>
      <c r="B123" s="84"/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  <c r="AH123" s="84"/>
      <c r="AI123" s="84"/>
      <c r="AJ123" s="84"/>
      <c r="AK123" s="84"/>
      <c r="AL123" s="84"/>
      <c r="AM123" s="84"/>
      <c r="AN123" s="84"/>
      <c r="AO123" s="84"/>
      <c r="AP123" s="84"/>
      <c r="AQ123" s="84"/>
      <c r="AR123" s="84"/>
      <c r="AS123" s="84"/>
      <c r="AT123" s="84"/>
      <c r="AU123" s="84"/>
      <c r="AV123" s="84"/>
      <c r="AW123" s="84"/>
      <c r="AX123" s="84"/>
      <c r="AY123" s="84"/>
      <c r="AZ123" s="84"/>
      <c r="BA123" s="84"/>
      <c r="BB123" s="84"/>
      <c r="BC123" s="84"/>
      <c r="BD123" s="84"/>
      <c r="BE123" s="84"/>
      <c r="BF123" s="84"/>
      <c r="BG123" s="84"/>
      <c r="BH123" s="84"/>
      <c r="BI123" s="84"/>
      <c r="BJ123" s="84"/>
      <c r="BK123" s="84"/>
      <c r="BL123" s="84"/>
      <c r="BM123" s="84"/>
      <c r="BN123" s="84"/>
      <c r="BO123" s="84"/>
    </row>
    <row r="124" spans="1:67">
      <c r="A124" s="84"/>
      <c r="B124" s="84"/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  <c r="AL124" s="84"/>
      <c r="AM124" s="84"/>
      <c r="AN124" s="84"/>
      <c r="AO124" s="84"/>
      <c r="AP124" s="84"/>
      <c r="AQ124" s="84"/>
      <c r="AR124" s="84"/>
      <c r="AS124" s="84"/>
      <c r="AT124" s="84"/>
      <c r="AU124" s="84"/>
      <c r="AV124" s="84"/>
      <c r="AW124" s="84"/>
      <c r="AX124" s="84"/>
      <c r="AY124" s="84"/>
      <c r="AZ124" s="84"/>
      <c r="BA124" s="84"/>
      <c r="BB124" s="84"/>
      <c r="BC124" s="84"/>
      <c r="BD124" s="84"/>
      <c r="BE124" s="84"/>
      <c r="BF124" s="84"/>
      <c r="BG124" s="84"/>
      <c r="BH124" s="84"/>
      <c r="BI124" s="84"/>
      <c r="BJ124" s="84"/>
      <c r="BK124" s="84"/>
      <c r="BL124" s="84"/>
      <c r="BM124" s="84"/>
      <c r="BN124" s="84"/>
      <c r="BO124" s="84"/>
    </row>
    <row r="125" spans="1:67">
      <c r="A125" s="84"/>
      <c r="B125" s="84"/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  <c r="AB125" s="84"/>
      <c r="AC125" s="84"/>
      <c r="AD125" s="84"/>
      <c r="AE125" s="84"/>
      <c r="AF125" s="84"/>
      <c r="AG125" s="84"/>
      <c r="AH125" s="84"/>
      <c r="AI125" s="84"/>
      <c r="AJ125" s="84"/>
      <c r="AK125" s="84"/>
      <c r="AL125" s="84"/>
      <c r="AM125" s="84"/>
      <c r="AN125" s="84"/>
      <c r="AO125" s="84"/>
      <c r="AP125" s="84"/>
      <c r="AQ125" s="84"/>
      <c r="AR125" s="84"/>
      <c r="AS125" s="84"/>
      <c r="AT125" s="84"/>
      <c r="AU125" s="84"/>
      <c r="AV125" s="84"/>
      <c r="AW125" s="84"/>
      <c r="AX125" s="84"/>
      <c r="AY125" s="84"/>
      <c r="AZ125" s="84"/>
      <c r="BA125" s="84"/>
      <c r="BB125" s="84"/>
      <c r="BC125" s="84"/>
      <c r="BD125" s="84"/>
      <c r="BE125" s="84"/>
      <c r="BF125" s="84"/>
      <c r="BG125" s="84"/>
      <c r="BH125" s="84"/>
      <c r="BI125" s="84"/>
      <c r="BJ125" s="84"/>
      <c r="BK125" s="84"/>
      <c r="BL125" s="84"/>
      <c r="BM125" s="84"/>
      <c r="BN125" s="84"/>
      <c r="BO125" s="84"/>
    </row>
    <row r="126" spans="1:67">
      <c r="A126" s="84"/>
      <c r="B126" s="84"/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  <c r="AL126" s="84"/>
      <c r="AM126" s="84"/>
      <c r="AN126" s="84"/>
      <c r="AO126" s="84"/>
      <c r="AP126" s="84"/>
      <c r="AQ126" s="84"/>
      <c r="AR126" s="84"/>
      <c r="AS126" s="84"/>
      <c r="AT126" s="84"/>
      <c r="AU126" s="84"/>
      <c r="AV126" s="84"/>
      <c r="AW126" s="84"/>
      <c r="AX126" s="84"/>
      <c r="AY126" s="84"/>
      <c r="AZ126" s="84"/>
      <c r="BA126" s="84"/>
      <c r="BB126" s="84"/>
      <c r="BC126" s="84"/>
      <c r="BD126" s="84"/>
      <c r="BE126" s="84"/>
      <c r="BF126" s="84"/>
      <c r="BG126" s="84"/>
      <c r="BH126" s="84"/>
      <c r="BI126" s="84"/>
      <c r="BJ126" s="84"/>
      <c r="BK126" s="84"/>
      <c r="BL126" s="84"/>
      <c r="BM126" s="84"/>
      <c r="BN126" s="84"/>
      <c r="BO126" s="84"/>
    </row>
    <row r="127" spans="1:67">
      <c r="A127" s="84"/>
      <c r="B127" s="84"/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  <c r="AL127" s="84"/>
      <c r="AM127" s="84"/>
      <c r="AN127" s="84"/>
      <c r="AO127" s="84"/>
      <c r="AP127" s="84"/>
      <c r="AQ127" s="84"/>
      <c r="AR127" s="84"/>
      <c r="AS127" s="84"/>
      <c r="AT127" s="84"/>
      <c r="AU127" s="84"/>
      <c r="AV127" s="84"/>
      <c r="AW127" s="84"/>
      <c r="AX127" s="84"/>
      <c r="AY127" s="84"/>
      <c r="AZ127" s="84"/>
      <c r="BA127" s="84"/>
      <c r="BB127" s="84"/>
      <c r="BC127" s="84"/>
      <c r="BD127" s="84"/>
      <c r="BE127" s="84"/>
      <c r="BF127" s="84"/>
      <c r="BG127" s="84"/>
      <c r="BH127" s="84"/>
      <c r="BI127" s="84"/>
      <c r="BJ127" s="84"/>
      <c r="BK127" s="84"/>
      <c r="BL127" s="84"/>
      <c r="BM127" s="84"/>
      <c r="BN127" s="84"/>
      <c r="BO127" s="84"/>
    </row>
    <row r="128" spans="1:67">
      <c r="A128" s="84"/>
      <c r="B128" s="84"/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  <c r="W128" s="84"/>
      <c r="X128" s="84"/>
      <c r="Y128" s="84"/>
      <c r="Z128" s="84"/>
      <c r="AA128" s="84"/>
      <c r="AB128" s="84"/>
      <c r="AC128" s="84"/>
      <c r="AD128" s="84"/>
      <c r="AE128" s="84"/>
      <c r="AF128" s="84"/>
      <c r="AG128" s="84"/>
      <c r="AH128" s="84"/>
      <c r="AI128" s="84"/>
      <c r="AJ128" s="84"/>
      <c r="AK128" s="84"/>
      <c r="AL128" s="84"/>
      <c r="AM128" s="84"/>
      <c r="AN128" s="84"/>
      <c r="AO128" s="84"/>
      <c r="AP128" s="84"/>
      <c r="AQ128" s="84"/>
      <c r="AR128" s="84"/>
      <c r="AS128" s="84"/>
      <c r="AT128" s="84"/>
      <c r="AU128" s="84"/>
      <c r="AV128" s="84"/>
      <c r="AW128" s="84"/>
      <c r="AX128" s="84"/>
      <c r="AY128" s="84"/>
      <c r="AZ128" s="84"/>
      <c r="BA128" s="84"/>
      <c r="BB128" s="84"/>
      <c r="BC128" s="84"/>
      <c r="BD128" s="84"/>
      <c r="BE128" s="84"/>
      <c r="BF128" s="84"/>
      <c r="BG128" s="84"/>
      <c r="BH128" s="84"/>
      <c r="BI128" s="84"/>
      <c r="BJ128" s="84"/>
      <c r="BK128" s="84"/>
      <c r="BL128" s="84"/>
      <c r="BM128" s="84"/>
      <c r="BN128" s="84"/>
      <c r="BO128" s="84"/>
    </row>
    <row r="129" spans="1:67">
      <c r="A129" s="84"/>
      <c r="B129" s="84"/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 s="84"/>
      <c r="AB129" s="84"/>
      <c r="AC129" s="84"/>
      <c r="AD129" s="84"/>
      <c r="AE129" s="84"/>
      <c r="AF129" s="84"/>
      <c r="AG129" s="84"/>
      <c r="AH129" s="84"/>
      <c r="AI129" s="84"/>
      <c r="AJ129" s="84"/>
      <c r="AK129" s="84"/>
      <c r="AL129" s="84"/>
      <c r="AM129" s="84"/>
      <c r="AN129" s="84"/>
      <c r="AO129" s="84"/>
      <c r="AP129" s="84"/>
      <c r="AQ129" s="84"/>
      <c r="AR129" s="84"/>
      <c r="AS129" s="84"/>
      <c r="AT129" s="84"/>
      <c r="AU129" s="84"/>
      <c r="AV129" s="84"/>
      <c r="AW129" s="84"/>
      <c r="AX129" s="84"/>
      <c r="AY129" s="84"/>
      <c r="AZ129" s="84"/>
      <c r="BA129" s="84"/>
      <c r="BB129" s="84"/>
      <c r="BC129" s="84"/>
      <c r="BD129" s="84"/>
      <c r="BE129" s="84"/>
      <c r="BF129" s="84"/>
      <c r="BG129" s="84"/>
      <c r="BH129" s="84"/>
      <c r="BI129" s="84"/>
      <c r="BJ129" s="84"/>
      <c r="BK129" s="84"/>
      <c r="BL129" s="84"/>
      <c r="BM129" s="84"/>
      <c r="BN129" s="84"/>
      <c r="BO129" s="84"/>
    </row>
    <row r="130" spans="1:67">
      <c r="A130" s="84"/>
      <c r="B130" s="84"/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  <c r="AL130" s="84"/>
      <c r="AM130" s="84"/>
      <c r="AN130" s="84"/>
      <c r="AO130" s="84"/>
      <c r="AP130" s="84"/>
      <c r="AQ130" s="84"/>
      <c r="AR130" s="84"/>
      <c r="AS130" s="84"/>
      <c r="AT130" s="84"/>
      <c r="AU130" s="84"/>
      <c r="AV130" s="84"/>
      <c r="AW130" s="84"/>
      <c r="AX130" s="84"/>
      <c r="AY130" s="84"/>
      <c r="AZ130" s="84"/>
      <c r="BA130" s="84"/>
      <c r="BB130" s="84"/>
      <c r="BC130" s="84"/>
      <c r="BD130" s="84"/>
      <c r="BE130" s="84"/>
      <c r="BF130" s="84"/>
      <c r="BG130" s="84"/>
      <c r="BH130" s="84"/>
      <c r="BI130" s="84"/>
      <c r="BJ130" s="84"/>
      <c r="BK130" s="84"/>
      <c r="BL130" s="84"/>
      <c r="BM130" s="84"/>
      <c r="BN130" s="84"/>
      <c r="BO130" s="84"/>
    </row>
    <row r="131" spans="1:67">
      <c r="A131" s="84"/>
      <c r="B131" s="84"/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  <c r="AL131" s="84"/>
      <c r="AM131" s="84"/>
      <c r="AN131" s="84"/>
      <c r="AO131" s="84"/>
      <c r="AP131" s="84"/>
      <c r="AQ131" s="84"/>
      <c r="AR131" s="84"/>
      <c r="AS131" s="84"/>
      <c r="AT131" s="84"/>
      <c r="AU131" s="84"/>
      <c r="AV131" s="84"/>
      <c r="AW131" s="84"/>
      <c r="AX131" s="84"/>
      <c r="AY131" s="84"/>
      <c r="AZ131" s="84"/>
      <c r="BA131" s="84"/>
      <c r="BB131" s="84"/>
      <c r="BC131" s="84"/>
      <c r="BD131" s="84"/>
      <c r="BE131" s="84"/>
      <c r="BF131" s="84"/>
      <c r="BG131" s="84"/>
      <c r="BH131" s="84"/>
      <c r="BI131" s="84"/>
      <c r="BJ131" s="84"/>
      <c r="BK131" s="84"/>
      <c r="BL131" s="84"/>
      <c r="BM131" s="84"/>
      <c r="BN131" s="84"/>
      <c r="BO131" s="84"/>
    </row>
    <row r="132" spans="1:67">
      <c r="A132" s="84"/>
      <c r="B132" s="84"/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  <c r="AL132" s="84"/>
      <c r="AM132" s="84"/>
      <c r="AN132" s="84"/>
      <c r="AO132" s="84"/>
      <c r="AP132" s="84"/>
      <c r="AQ132" s="84"/>
      <c r="AR132" s="84"/>
      <c r="AS132" s="84"/>
      <c r="AT132" s="84"/>
      <c r="AU132" s="84"/>
      <c r="AV132" s="84"/>
      <c r="AW132" s="84"/>
      <c r="AX132" s="84"/>
      <c r="AY132" s="84"/>
      <c r="AZ132" s="84"/>
      <c r="BA132" s="84"/>
      <c r="BB132" s="84"/>
      <c r="BC132" s="84"/>
      <c r="BD132" s="84"/>
      <c r="BE132" s="84"/>
      <c r="BF132" s="84"/>
      <c r="BG132" s="84"/>
      <c r="BH132" s="84"/>
      <c r="BI132" s="84"/>
      <c r="BJ132" s="84"/>
      <c r="BK132" s="84"/>
      <c r="BL132" s="84"/>
      <c r="BM132" s="84"/>
      <c r="BN132" s="84"/>
      <c r="BO132" s="84"/>
    </row>
    <row r="133" spans="1:67">
      <c r="A133" s="84"/>
      <c r="B133" s="84"/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  <c r="AL133" s="84"/>
      <c r="AM133" s="84"/>
      <c r="AN133" s="84"/>
      <c r="AO133" s="84"/>
      <c r="AP133" s="84"/>
      <c r="AQ133" s="84"/>
      <c r="AR133" s="84"/>
      <c r="AS133" s="84"/>
      <c r="AT133" s="84"/>
      <c r="AU133" s="84"/>
      <c r="AV133" s="84"/>
      <c r="AW133" s="84"/>
      <c r="AX133" s="84"/>
      <c r="AY133" s="84"/>
      <c r="AZ133" s="84"/>
      <c r="BA133" s="84"/>
      <c r="BB133" s="84"/>
      <c r="BC133" s="84"/>
      <c r="BD133" s="84"/>
      <c r="BE133" s="84"/>
      <c r="BF133" s="84"/>
      <c r="BG133" s="84"/>
      <c r="BH133" s="84"/>
      <c r="BI133" s="84"/>
      <c r="BJ133" s="84"/>
      <c r="BK133" s="84"/>
      <c r="BL133" s="84"/>
      <c r="BM133" s="84"/>
      <c r="BN133" s="84"/>
      <c r="BO133" s="84"/>
    </row>
    <row r="134" spans="1:67">
      <c r="A134" s="84"/>
      <c r="B134" s="84"/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  <c r="AA134" s="84"/>
      <c r="AB134" s="84"/>
      <c r="AC134" s="84"/>
      <c r="AD134" s="84"/>
      <c r="AE134" s="84"/>
      <c r="AF134" s="84"/>
      <c r="AG134" s="84"/>
      <c r="AH134" s="84"/>
      <c r="AI134" s="84"/>
      <c r="AJ134" s="84"/>
      <c r="AK134" s="84"/>
      <c r="AL134" s="84"/>
      <c r="AM134" s="84"/>
      <c r="AN134" s="84"/>
      <c r="AO134" s="84"/>
      <c r="AP134" s="84"/>
      <c r="AQ134" s="84"/>
      <c r="AR134" s="84"/>
      <c r="AS134" s="84"/>
      <c r="AT134" s="84"/>
      <c r="AU134" s="84"/>
      <c r="AV134" s="84"/>
      <c r="AW134" s="84"/>
      <c r="AX134" s="84"/>
      <c r="AY134" s="84"/>
      <c r="AZ134" s="84"/>
      <c r="BA134" s="84"/>
      <c r="BB134" s="84"/>
      <c r="BC134" s="84"/>
      <c r="BD134" s="84"/>
      <c r="BE134" s="84"/>
      <c r="BF134" s="84"/>
      <c r="BG134" s="84"/>
      <c r="BH134" s="84"/>
      <c r="BI134" s="84"/>
      <c r="BJ134" s="84"/>
      <c r="BK134" s="84"/>
      <c r="BL134" s="84"/>
      <c r="BM134" s="84"/>
      <c r="BN134" s="84"/>
      <c r="BO134" s="84"/>
    </row>
    <row r="135" spans="1:67">
      <c r="A135" s="84"/>
      <c r="B135" s="84"/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  <c r="AL135" s="84"/>
      <c r="AM135" s="84"/>
      <c r="AN135" s="84"/>
      <c r="AO135" s="84"/>
      <c r="AP135" s="84"/>
      <c r="AQ135" s="84"/>
      <c r="AR135" s="84"/>
      <c r="AS135" s="84"/>
      <c r="AT135" s="84"/>
      <c r="AU135" s="84"/>
      <c r="AV135" s="84"/>
      <c r="AW135" s="84"/>
      <c r="AX135" s="84"/>
      <c r="AY135" s="84"/>
      <c r="AZ135" s="84"/>
      <c r="BA135" s="84"/>
      <c r="BB135" s="84"/>
      <c r="BC135" s="84"/>
      <c r="BD135" s="84"/>
      <c r="BE135" s="84"/>
      <c r="BF135" s="84"/>
      <c r="BG135" s="84"/>
      <c r="BH135" s="84"/>
      <c r="BI135" s="84"/>
      <c r="BJ135" s="84"/>
      <c r="BK135" s="84"/>
      <c r="BL135" s="84"/>
      <c r="BM135" s="84"/>
      <c r="BN135" s="84"/>
      <c r="BO135" s="84"/>
    </row>
    <row r="136" spans="1:67">
      <c r="A136" s="84"/>
      <c r="B136" s="84"/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  <c r="AL136" s="84"/>
      <c r="AM136" s="84"/>
      <c r="AN136" s="84"/>
      <c r="AO136" s="84"/>
      <c r="AP136" s="84"/>
      <c r="AQ136" s="84"/>
      <c r="AR136" s="84"/>
      <c r="AS136" s="84"/>
      <c r="AT136" s="84"/>
      <c r="AU136" s="84"/>
      <c r="AV136" s="84"/>
      <c r="AW136" s="84"/>
      <c r="AX136" s="84"/>
      <c r="AY136" s="84"/>
      <c r="AZ136" s="84"/>
      <c r="BA136" s="84"/>
      <c r="BB136" s="84"/>
      <c r="BC136" s="84"/>
      <c r="BD136" s="84"/>
      <c r="BE136" s="84"/>
      <c r="BF136" s="84"/>
      <c r="BG136" s="84"/>
      <c r="BH136" s="84"/>
      <c r="BI136" s="84"/>
      <c r="BJ136" s="84"/>
      <c r="BK136" s="84"/>
      <c r="BL136" s="84"/>
      <c r="BM136" s="84"/>
      <c r="BN136" s="84"/>
      <c r="BO136" s="84"/>
    </row>
    <row r="137" spans="1:67">
      <c r="A137" s="84"/>
      <c r="B137" s="84"/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  <c r="AL137" s="84"/>
      <c r="AM137" s="84"/>
      <c r="AN137" s="84"/>
      <c r="AO137" s="84"/>
      <c r="AP137" s="84"/>
      <c r="AQ137" s="84"/>
      <c r="AR137" s="84"/>
      <c r="AS137" s="84"/>
      <c r="AT137" s="84"/>
      <c r="AU137" s="84"/>
      <c r="AV137" s="84"/>
      <c r="AW137" s="84"/>
      <c r="AX137" s="84"/>
      <c r="AY137" s="84"/>
      <c r="AZ137" s="84"/>
      <c r="BA137" s="84"/>
      <c r="BB137" s="84"/>
      <c r="BC137" s="84"/>
      <c r="BD137" s="84"/>
      <c r="BE137" s="84"/>
      <c r="BF137" s="84"/>
      <c r="BG137" s="84"/>
      <c r="BH137" s="84"/>
      <c r="BI137" s="84"/>
      <c r="BJ137" s="84"/>
      <c r="BK137" s="84"/>
      <c r="BL137" s="84"/>
      <c r="BM137" s="84"/>
      <c r="BN137" s="84"/>
      <c r="BO137" s="84"/>
    </row>
    <row r="138" spans="1:67">
      <c r="A138" s="84"/>
      <c r="B138" s="84"/>
      <c r="C138" s="84"/>
      <c r="D138" s="84"/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  <c r="AL138" s="84"/>
      <c r="AM138" s="84"/>
      <c r="AN138" s="84"/>
      <c r="AO138" s="84"/>
      <c r="AP138" s="84"/>
      <c r="AQ138" s="84"/>
      <c r="AR138" s="84"/>
      <c r="AS138" s="84"/>
      <c r="AT138" s="84"/>
      <c r="AU138" s="84"/>
      <c r="AV138" s="84"/>
      <c r="AW138" s="84"/>
      <c r="AX138" s="84"/>
      <c r="AY138" s="84"/>
      <c r="AZ138" s="84"/>
      <c r="BA138" s="84"/>
      <c r="BB138" s="84"/>
      <c r="BC138" s="84"/>
      <c r="BD138" s="84"/>
      <c r="BE138" s="84"/>
      <c r="BF138" s="84"/>
      <c r="BG138" s="84"/>
      <c r="BH138" s="84"/>
      <c r="BI138" s="84"/>
      <c r="BJ138" s="84"/>
      <c r="BK138" s="84"/>
      <c r="BL138" s="84"/>
      <c r="BM138" s="84"/>
      <c r="BN138" s="84"/>
      <c r="BO138" s="84"/>
    </row>
    <row r="139" spans="1:67">
      <c r="A139" s="84"/>
      <c r="B139" s="84"/>
      <c r="C139" s="84"/>
      <c r="D139" s="84"/>
      <c r="E139" s="84"/>
      <c r="F139" s="8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  <c r="W139" s="84"/>
      <c r="X139" s="84"/>
      <c r="Y139" s="84"/>
      <c r="Z139" s="84"/>
      <c r="AA139" s="84"/>
      <c r="AB139" s="84"/>
      <c r="AC139" s="84"/>
      <c r="AD139" s="84"/>
      <c r="AE139" s="84"/>
      <c r="AF139" s="84"/>
      <c r="AG139" s="84"/>
      <c r="AH139" s="84"/>
      <c r="AI139" s="84"/>
      <c r="AJ139" s="84"/>
      <c r="AK139" s="84"/>
      <c r="AL139" s="84"/>
      <c r="AM139" s="84"/>
      <c r="AN139" s="84"/>
      <c r="AO139" s="84"/>
      <c r="AP139" s="84"/>
      <c r="AQ139" s="84"/>
      <c r="AR139" s="84"/>
      <c r="AS139" s="84"/>
      <c r="AT139" s="84"/>
      <c r="AU139" s="84"/>
      <c r="AV139" s="84"/>
      <c r="AW139" s="84"/>
      <c r="AX139" s="84"/>
      <c r="AY139" s="84"/>
      <c r="AZ139" s="84"/>
      <c r="BA139" s="84"/>
      <c r="BB139" s="84"/>
      <c r="BC139" s="84"/>
      <c r="BD139" s="84"/>
      <c r="BE139" s="84"/>
      <c r="BF139" s="84"/>
      <c r="BG139" s="84"/>
      <c r="BH139" s="84"/>
      <c r="BI139" s="84"/>
      <c r="BJ139" s="84"/>
      <c r="BK139" s="84"/>
      <c r="BL139" s="84"/>
      <c r="BM139" s="84"/>
      <c r="BN139" s="84"/>
      <c r="BO139" s="84"/>
    </row>
    <row r="140" spans="1:67">
      <c r="A140" s="84"/>
      <c r="B140" s="84"/>
      <c r="C140" s="84"/>
      <c r="D140" s="84"/>
      <c r="E140" s="84"/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4"/>
      <c r="AA140" s="84"/>
      <c r="AB140" s="84"/>
      <c r="AC140" s="84"/>
      <c r="AD140" s="84"/>
      <c r="AE140" s="84"/>
      <c r="AF140" s="84"/>
      <c r="AG140" s="84"/>
      <c r="AH140" s="84"/>
      <c r="AI140" s="84"/>
      <c r="AJ140" s="84"/>
      <c r="AK140" s="84"/>
      <c r="AL140" s="84"/>
      <c r="AM140" s="84"/>
      <c r="AN140" s="84"/>
      <c r="AO140" s="84"/>
      <c r="AP140" s="84"/>
      <c r="AQ140" s="84"/>
      <c r="AR140" s="84"/>
      <c r="AS140" s="84"/>
      <c r="AT140" s="84"/>
      <c r="AU140" s="84"/>
      <c r="AV140" s="84"/>
      <c r="AW140" s="84"/>
      <c r="AX140" s="84"/>
      <c r="AY140" s="84"/>
      <c r="AZ140" s="84"/>
      <c r="BA140" s="84"/>
      <c r="BB140" s="84"/>
      <c r="BC140" s="84"/>
      <c r="BD140" s="84"/>
      <c r="BE140" s="84"/>
      <c r="BF140" s="84"/>
      <c r="BG140" s="84"/>
      <c r="BH140" s="84"/>
      <c r="BI140" s="84"/>
      <c r="BJ140" s="84"/>
      <c r="BK140" s="84"/>
      <c r="BL140" s="84"/>
      <c r="BM140" s="84"/>
      <c r="BN140" s="84"/>
      <c r="BO140" s="84"/>
    </row>
    <row r="141" spans="1:67">
      <c r="A141" s="84"/>
      <c r="B141" s="84"/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  <c r="AL141" s="84"/>
      <c r="AM141" s="84"/>
      <c r="AN141" s="84"/>
      <c r="AO141" s="84"/>
      <c r="AP141" s="84"/>
      <c r="AQ141" s="84"/>
      <c r="AR141" s="84"/>
      <c r="AS141" s="84"/>
      <c r="AT141" s="84"/>
      <c r="AU141" s="84"/>
      <c r="AV141" s="84"/>
      <c r="AW141" s="84"/>
      <c r="AX141" s="84"/>
      <c r="AY141" s="84"/>
      <c r="AZ141" s="84"/>
      <c r="BA141" s="84"/>
      <c r="BB141" s="84"/>
      <c r="BC141" s="84"/>
      <c r="BD141" s="84"/>
      <c r="BE141" s="84"/>
      <c r="BF141" s="84"/>
      <c r="BG141" s="84"/>
      <c r="BH141" s="84"/>
      <c r="BI141" s="84"/>
      <c r="BJ141" s="84"/>
      <c r="BK141" s="84"/>
      <c r="BL141" s="84"/>
      <c r="BM141" s="84"/>
      <c r="BN141" s="84"/>
      <c r="BO141" s="84"/>
    </row>
    <row r="142" spans="1:67">
      <c r="A142" s="84"/>
      <c r="B142" s="84"/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  <c r="W142" s="84"/>
      <c r="X142" s="84"/>
      <c r="Y142" s="84"/>
      <c r="Z142" s="84"/>
      <c r="AA142" s="84"/>
      <c r="AB142" s="84"/>
      <c r="AC142" s="84"/>
      <c r="AD142" s="84"/>
      <c r="AE142" s="84"/>
      <c r="AF142" s="84"/>
      <c r="AG142" s="84"/>
      <c r="AH142" s="84"/>
      <c r="AI142" s="84"/>
      <c r="AJ142" s="84"/>
      <c r="AK142" s="84"/>
      <c r="AL142" s="84"/>
      <c r="AM142" s="84"/>
      <c r="AN142" s="84"/>
      <c r="AO142" s="84"/>
      <c r="AP142" s="84"/>
      <c r="AQ142" s="84"/>
      <c r="AR142" s="84"/>
      <c r="AS142" s="84"/>
      <c r="AT142" s="84"/>
      <c r="AU142" s="84"/>
      <c r="AV142" s="84"/>
      <c r="AW142" s="84"/>
      <c r="AX142" s="84"/>
      <c r="AY142" s="84"/>
      <c r="AZ142" s="84"/>
      <c r="BA142" s="84"/>
      <c r="BB142" s="84"/>
      <c r="BC142" s="84"/>
      <c r="BD142" s="84"/>
      <c r="BE142" s="84"/>
      <c r="BF142" s="84"/>
      <c r="BG142" s="84"/>
      <c r="BH142" s="84"/>
      <c r="BI142" s="84"/>
      <c r="BJ142" s="84"/>
      <c r="BK142" s="84"/>
      <c r="BL142" s="84"/>
      <c r="BM142" s="84"/>
      <c r="BN142" s="84"/>
      <c r="BO142" s="84"/>
    </row>
    <row r="143" spans="1:67">
      <c r="A143" s="84"/>
      <c r="B143" s="84"/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  <c r="AA143" s="84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  <c r="AL143" s="84"/>
      <c r="AM143" s="84"/>
      <c r="AN143" s="84"/>
      <c r="AO143" s="84"/>
      <c r="AP143" s="84"/>
      <c r="AQ143" s="84"/>
      <c r="AR143" s="84"/>
      <c r="AS143" s="84"/>
      <c r="AT143" s="84"/>
      <c r="AU143" s="84"/>
      <c r="AV143" s="84"/>
      <c r="AW143" s="84"/>
      <c r="AX143" s="84"/>
      <c r="AY143" s="84"/>
      <c r="AZ143" s="84"/>
      <c r="BA143" s="84"/>
      <c r="BB143" s="84"/>
      <c r="BC143" s="84"/>
      <c r="BD143" s="84"/>
      <c r="BE143" s="84"/>
      <c r="BF143" s="84"/>
      <c r="BG143" s="84"/>
      <c r="BH143" s="84"/>
      <c r="BI143" s="84"/>
      <c r="BJ143" s="84"/>
      <c r="BK143" s="84"/>
      <c r="BL143" s="84"/>
      <c r="BM143" s="84"/>
      <c r="BN143" s="84"/>
      <c r="BO143" s="84"/>
    </row>
    <row r="144" spans="1:67">
      <c r="A144" s="84"/>
      <c r="B144" s="84"/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  <c r="AA144" s="84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  <c r="AL144" s="84"/>
      <c r="AM144" s="84"/>
      <c r="AN144" s="84"/>
      <c r="AO144" s="84"/>
      <c r="AP144" s="84"/>
      <c r="AQ144" s="84"/>
      <c r="AR144" s="84"/>
      <c r="AS144" s="84"/>
      <c r="AT144" s="84"/>
      <c r="AU144" s="84"/>
      <c r="AV144" s="84"/>
      <c r="AW144" s="84"/>
      <c r="AX144" s="84"/>
      <c r="AY144" s="84"/>
      <c r="AZ144" s="84"/>
      <c r="BA144" s="84"/>
      <c r="BB144" s="84"/>
      <c r="BC144" s="84"/>
      <c r="BD144" s="84"/>
      <c r="BE144" s="84"/>
      <c r="BF144" s="84"/>
      <c r="BG144" s="84"/>
      <c r="BH144" s="84"/>
      <c r="BI144" s="84"/>
      <c r="BJ144" s="84"/>
      <c r="BK144" s="84"/>
      <c r="BL144" s="84"/>
      <c r="BM144" s="84"/>
      <c r="BN144" s="84"/>
      <c r="BO144" s="84"/>
    </row>
    <row r="145" spans="1:67">
      <c r="A145" s="84"/>
      <c r="B145" s="84"/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  <c r="AA145" s="84"/>
      <c r="AB145" s="84"/>
      <c r="AC145" s="84"/>
      <c r="AD145" s="84"/>
      <c r="AE145" s="84"/>
      <c r="AF145" s="84"/>
      <c r="AG145" s="84"/>
      <c r="AH145" s="84"/>
      <c r="AI145" s="84"/>
      <c r="AJ145" s="84"/>
      <c r="AK145" s="84"/>
      <c r="AL145" s="84"/>
      <c r="AM145" s="84"/>
      <c r="AN145" s="84"/>
      <c r="AO145" s="84"/>
      <c r="AP145" s="84"/>
      <c r="AQ145" s="84"/>
      <c r="AR145" s="84"/>
      <c r="AS145" s="84"/>
      <c r="AT145" s="84"/>
      <c r="AU145" s="84"/>
      <c r="AV145" s="84"/>
      <c r="AW145" s="84"/>
      <c r="AX145" s="84"/>
      <c r="AY145" s="84"/>
      <c r="AZ145" s="84"/>
      <c r="BA145" s="84"/>
      <c r="BB145" s="84"/>
      <c r="BC145" s="84"/>
      <c r="BD145" s="84"/>
      <c r="BE145" s="84"/>
      <c r="BF145" s="84"/>
      <c r="BG145" s="84"/>
      <c r="BH145" s="84"/>
      <c r="BI145" s="84"/>
      <c r="BJ145" s="84"/>
      <c r="BK145" s="84"/>
      <c r="BL145" s="84"/>
      <c r="BM145" s="84"/>
      <c r="BN145" s="84"/>
      <c r="BO145" s="84"/>
    </row>
    <row r="146" spans="1:67">
      <c r="A146" s="84"/>
      <c r="B146" s="84"/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  <c r="AA146" s="84"/>
      <c r="AB146" s="84"/>
      <c r="AC146" s="84"/>
      <c r="AD146" s="84"/>
      <c r="AE146" s="84"/>
      <c r="AF146" s="84"/>
      <c r="AG146" s="84"/>
      <c r="AH146" s="84"/>
      <c r="AI146" s="84"/>
      <c r="AJ146" s="84"/>
      <c r="AK146" s="84"/>
      <c r="AL146" s="84"/>
      <c r="AM146" s="84"/>
      <c r="AN146" s="84"/>
      <c r="AO146" s="84"/>
      <c r="AP146" s="84"/>
      <c r="AQ146" s="84"/>
      <c r="AR146" s="84"/>
      <c r="AS146" s="84"/>
      <c r="AT146" s="84"/>
      <c r="AU146" s="84"/>
      <c r="AV146" s="84"/>
      <c r="AW146" s="84"/>
      <c r="AX146" s="84"/>
      <c r="AY146" s="84"/>
      <c r="AZ146" s="84"/>
      <c r="BA146" s="84"/>
      <c r="BB146" s="84"/>
      <c r="BC146" s="84"/>
      <c r="BD146" s="84"/>
      <c r="BE146" s="84"/>
      <c r="BF146" s="84"/>
      <c r="BG146" s="84"/>
      <c r="BH146" s="84"/>
      <c r="BI146" s="84"/>
      <c r="BJ146" s="84"/>
      <c r="BK146" s="84"/>
      <c r="BL146" s="84"/>
      <c r="BM146" s="84"/>
      <c r="BN146" s="84"/>
      <c r="BO146" s="84"/>
    </row>
    <row r="147" spans="1:67">
      <c r="A147" s="84"/>
      <c r="B147" s="84"/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  <c r="AA147" s="84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  <c r="AL147" s="84"/>
      <c r="AM147" s="84"/>
      <c r="AN147" s="84"/>
      <c r="AO147" s="84"/>
      <c r="AP147" s="84"/>
      <c r="AQ147" s="84"/>
      <c r="AR147" s="84"/>
      <c r="AS147" s="84"/>
      <c r="AT147" s="84"/>
      <c r="AU147" s="84"/>
      <c r="AV147" s="84"/>
      <c r="AW147" s="84"/>
      <c r="AX147" s="84"/>
      <c r="AY147" s="84"/>
      <c r="AZ147" s="84"/>
      <c r="BA147" s="84"/>
      <c r="BB147" s="84"/>
      <c r="BC147" s="84"/>
      <c r="BD147" s="84"/>
      <c r="BE147" s="84"/>
      <c r="BF147" s="84"/>
      <c r="BG147" s="84"/>
      <c r="BH147" s="84"/>
      <c r="BI147" s="84"/>
      <c r="BJ147" s="84"/>
      <c r="BK147" s="84"/>
      <c r="BL147" s="84"/>
      <c r="BM147" s="84"/>
      <c r="BN147" s="84"/>
      <c r="BO147" s="84"/>
    </row>
  </sheetData>
  <mergeCells count="12">
    <mergeCell ref="AC7:AD7"/>
    <mergeCell ref="B6:C6"/>
    <mergeCell ref="D6:I6"/>
    <mergeCell ref="K6:P6"/>
    <mergeCell ref="S7:T7"/>
    <mergeCell ref="V7:W7"/>
    <mergeCell ref="Z7:AA7"/>
    <mergeCell ref="K1:L1"/>
    <mergeCell ref="K2:L2"/>
    <mergeCell ref="U2:AB2"/>
    <mergeCell ref="R5:X5"/>
    <mergeCell ref="Y5:AE5"/>
  </mergeCells>
  <conditionalFormatting sqref="F8:F115">
    <cfRule type="expression" dxfId="7" priority="2">
      <formula>F8&lt;I8</formula>
    </cfRule>
    <cfRule type="expression" dxfId="6" priority="3">
      <formula>F8&gt;G8</formula>
    </cfRule>
  </conditionalFormatting>
  <hyperlinks>
    <hyperlink ref="B1" location="INICIO!A1" display="INICIO" xr:uid="{00000000-0004-0000-0800-000000000000}"/>
    <hyperlink ref="AH1" location="INICIO!A1" display="INICIO" xr:uid="{00000000-0004-0000-0800-000001000000}"/>
    <hyperlink ref="B4" location="RESULTADOSNP" display="RESULTADOS" xr:uid="{00000000-0004-0000-0800-000002000000}"/>
    <hyperlink ref="B3" location="'GRÁFICO C'!A1" display="SIGUIENTE" xr:uid="{00000000-0004-0000-0800-000003000000}"/>
    <hyperlink ref="B2" location="'GRÁFICO P (N CAMBIANTE)'!A1" display="ATRÁS" xr:uid="{00000000-0004-0000-0800-000004000000}"/>
    <hyperlink ref="AH2" location="'GRÁFICO P (N CAMBIANTE)'!A1" display="ATRÁS" xr:uid="{00000000-0004-0000-0800-000005000000}"/>
    <hyperlink ref="AH3" location="'GRÁFICO C'!A1" display="SIGUIENTE" xr:uid="{00000000-0004-0000-0800-000006000000}"/>
  </hyperlinks>
  <pageMargins left="0.7" right="0.7" top="0.75" bottom="0.75" header="0.3" footer="0.3"/>
  <pageSetup paperSize="9"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rgb="FF9966FF"/>
  </sheetPr>
  <dimension ref="A1:BM147"/>
  <sheetViews>
    <sheetView zoomScale="89" zoomScaleNormal="89" workbookViewId="0">
      <selection activeCell="G28" sqref="G28"/>
    </sheetView>
  </sheetViews>
  <sheetFormatPr baseColWidth="10" defaultRowHeight="15"/>
  <cols>
    <col min="2" max="2" width="21" customWidth="1"/>
    <col min="10" max="10" width="14.85546875" customWidth="1"/>
    <col min="13" max="13" width="15.5703125" customWidth="1"/>
    <col min="2000" max="2000" width="2.7109375" customWidth="1"/>
  </cols>
  <sheetData>
    <row r="1" spans="1:65" ht="19.5" thickBot="1">
      <c r="A1" s="84"/>
      <c r="B1" s="48" t="s">
        <v>27</v>
      </c>
      <c r="C1" s="84"/>
      <c r="D1" s="84"/>
      <c r="E1" s="84"/>
      <c r="F1" s="4"/>
      <c r="G1" s="107"/>
      <c r="H1" s="247" t="s">
        <v>64</v>
      </c>
      <c r="I1" s="248"/>
      <c r="J1" s="136">
        <f>C8</f>
        <v>1.88</v>
      </c>
      <c r="K1" s="58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</row>
    <row r="2" spans="1:65" ht="19.5" thickBot="1">
      <c r="A2" s="84"/>
      <c r="B2" s="104" t="s">
        <v>29</v>
      </c>
      <c r="C2" s="84"/>
      <c r="D2" s="84"/>
      <c r="E2" s="84"/>
      <c r="F2" s="4"/>
      <c r="G2" s="107"/>
      <c r="H2" s="275" t="s">
        <v>73</v>
      </c>
      <c r="I2" s="275"/>
      <c r="J2" s="137">
        <f>SQRT(J1)</f>
        <v>1.3711309200802089</v>
      </c>
      <c r="K2" s="58"/>
      <c r="L2" s="84"/>
      <c r="M2" s="84"/>
      <c r="N2" s="58"/>
      <c r="O2" s="58"/>
      <c r="P2" s="84"/>
      <c r="Q2" s="58"/>
      <c r="Z2" s="84"/>
      <c r="AA2" s="84"/>
      <c r="AB2" s="84"/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Y2" s="84"/>
      <c r="AZ2" s="84"/>
      <c r="BA2" s="84"/>
      <c r="BB2" s="84"/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</row>
    <row r="3" spans="1:65" ht="19.5" thickBot="1">
      <c r="A3" s="84"/>
      <c r="B3" s="133" t="s">
        <v>28</v>
      </c>
      <c r="C3" s="107"/>
      <c r="D3" s="107"/>
      <c r="E3" s="107"/>
      <c r="F3" s="4"/>
      <c r="G3" s="107"/>
      <c r="H3" s="107"/>
      <c r="I3" s="84"/>
      <c r="J3" s="84"/>
      <c r="K3" s="58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Y3" s="84"/>
      <c r="AZ3" s="84"/>
      <c r="BA3" s="84"/>
      <c r="BB3" s="84"/>
      <c r="BC3" s="84"/>
      <c r="BD3" s="84"/>
      <c r="BE3" s="84"/>
      <c r="BF3" s="84"/>
      <c r="BG3" s="84"/>
      <c r="BH3" s="84"/>
      <c r="BI3" s="84"/>
      <c r="BJ3" s="84"/>
      <c r="BK3" s="84"/>
      <c r="BL3" s="84"/>
      <c r="BM3" s="84"/>
    </row>
    <row r="4" spans="1:65" ht="21.75" thickBot="1">
      <c r="A4" s="84"/>
      <c r="B4" s="129" t="s">
        <v>30</v>
      </c>
      <c r="C4" s="107"/>
      <c r="D4" s="107"/>
      <c r="E4" s="107"/>
      <c r="F4" s="107"/>
      <c r="G4" s="107"/>
      <c r="H4" s="249" t="s">
        <v>30</v>
      </c>
      <c r="I4" s="250"/>
      <c r="J4" s="250"/>
      <c r="K4" s="250"/>
      <c r="L4" s="250"/>
      <c r="M4" s="250"/>
      <c r="N4" s="250"/>
      <c r="O4" s="251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4"/>
      <c r="BK4" s="84"/>
      <c r="BL4" s="84"/>
      <c r="BM4" s="84"/>
    </row>
    <row r="5" spans="1:65" ht="15.75" thickBot="1">
      <c r="A5" s="84"/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Y5" s="84"/>
      <c r="AZ5" s="84"/>
      <c r="BA5" s="84"/>
      <c r="BB5" s="84"/>
      <c r="BC5" s="84"/>
      <c r="BD5" s="84"/>
      <c r="BE5" s="84"/>
      <c r="BF5" s="84"/>
      <c r="BG5" s="84"/>
      <c r="BH5" s="84"/>
      <c r="BI5" s="84"/>
      <c r="BJ5" s="84"/>
      <c r="BK5" s="84"/>
      <c r="BL5" s="84"/>
      <c r="BM5" s="84"/>
    </row>
    <row r="6" spans="1:65" ht="15.75" thickBot="1">
      <c r="A6" s="4"/>
      <c r="B6" s="276" t="s">
        <v>1</v>
      </c>
      <c r="C6" s="262"/>
      <c r="D6" s="262"/>
      <c r="E6" s="262"/>
      <c r="F6" s="265"/>
      <c r="G6" s="84"/>
      <c r="H6" s="252" t="s">
        <v>81</v>
      </c>
      <c r="I6" s="253"/>
      <c r="J6" s="253"/>
      <c r="K6" s="253"/>
      <c r="L6" s="253"/>
      <c r="M6" s="253"/>
      <c r="N6" s="25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  <c r="AS6" s="84"/>
      <c r="AT6" s="84"/>
      <c r="AY6" s="84"/>
      <c r="AZ6" s="84"/>
      <c r="BA6" s="84"/>
      <c r="BB6" s="84"/>
      <c r="BC6" s="84"/>
      <c r="BD6" s="84"/>
      <c r="BE6" s="84"/>
      <c r="BF6" s="84"/>
      <c r="BG6" s="84"/>
      <c r="BH6" s="84"/>
      <c r="BI6" s="84"/>
      <c r="BJ6" s="84"/>
      <c r="BK6" s="84"/>
      <c r="BL6" s="84"/>
      <c r="BM6" s="84"/>
    </row>
    <row r="7" spans="1:65" ht="15.75" thickBot="1">
      <c r="A7" s="35" t="s">
        <v>0</v>
      </c>
      <c r="B7" s="135" t="s">
        <v>80</v>
      </c>
      <c r="C7" s="114" t="s">
        <v>62</v>
      </c>
      <c r="D7" s="114" t="s">
        <v>5</v>
      </c>
      <c r="E7" s="114" t="s">
        <v>6</v>
      </c>
      <c r="F7" s="99" t="s">
        <v>6</v>
      </c>
      <c r="G7" s="84"/>
      <c r="H7" s="64"/>
      <c r="I7" s="4"/>
      <c r="J7" s="4"/>
      <c r="K7" s="4"/>
      <c r="L7" s="4"/>
      <c r="M7" s="4"/>
      <c r="N7" s="65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  <c r="AL7" s="84"/>
      <c r="AM7" s="84"/>
      <c r="AN7" s="84"/>
      <c r="AO7" s="84"/>
      <c r="AP7" s="84"/>
      <c r="AQ7" s="84"/>
      <c r="AR7" s="84"/>
      <c r="AS7" s="84"/>
      <c r="AT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</row>
    <row r="8" spans="1:65" ht="15.75" thickBot="1">
      <c r="A8" s="80">
        <v>1</v>
      </c>
      <c r="B8" s="132">
        <v>2</v>
      </c>
      <c r="C8" s="124">
        <f t="shared" ref="C8:C39" si="0">IF(B8="","",AVERAGE($B$8:$B$116))</f>
        <v>1.88</v>
      </c>
      <c r="D8" s="115">
        <f>IF(B8="","",C8+3*SQRT(C8))</f>
        <v>5.9933927602406269</v>
      </c>
      <c r="E8" s="115">
        <f t="shared" ref="E8:E39" si="1">IF(F8&lt;0,0,F8)</f>
        <v>0</v>
      </c>
      <c r="F8" s="112">
        <f>IF(B8="","",C8-3*SQRT(C8))</f>
        <v>-2.2333927602406272</v>
      </c>
      <c r="G8" s="84"/>
      <c r="H8" s="64"/>
      <c r="I8" s="245" t="s">
        <v>33</v>
      </c>
      <c r="J8" s="246"/>
      <c r="K8" s="4"/>
      <c r="L8" s="245" t="s">
        <v>36</v>
      </c>
      <c r="M8" s="246"/>
      <c r="N8" s="65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Y8" s="84"/>
      <c r="AZ8" s="84"/>
      <c r="BA8" s="84"/>
      <c r="BB8" s="84"/>
      <c r="BC8" s="84"/>
      <c r="BD8" s="84"/>
      <c r="BE8" s="84"/>
      <c r="BF8" s="84"/>
      <c r="BG8" s="84"/>
      <c r="BH8" s="84"/>
      <c r="BI8" s="84"/>
      <c r="BJ8" s="84"/>
      <c r="BK8" s="84"/>
      <c r="BL8" s="84"/>
      <c r="BM8" s="84"/>
    </row>
    <row r="9" spans="1:65" ht="15.75" thickBot="1">
      <c r="A9" s="80">
        <v>2</v>
      </c>
      <c r="B9" s="134">
        <v>3</v>
      </c>
      <c r="C9" s="124">
        <f t="shared" si="0"/>
        <v>1.88</v>
      </c>
      <c r="D9" s="115">
        <f t="shared" ref="D9:D72" si="2">IF(B9="","",C9+3*SQRT(C9))</f>
        <v>5.9933927602406269</v>
      </c>
      <c r="E9" s="110">
        <f t="shared" si="1"/>
        <v>0</v>
      </c>
      <c r="F9" s="112">
        <f t="shared" ref="F9:F72" si="3">IF(B9="","",C9-3*SQRT(C9))</f>
        <v>-2.2333927602406272</v>
      </c>
      <c r="G9" s="84"/>
      <c r="H9" s="64"/>
      <c r="I9" s="63" t="s">
        <v>5</v>
      </c>
      <c r="J9" s="63">
        <f>COUNTIF(B8:B115,"&gt;"&amp;$D$8)</f>
        <v>0</v>
      </c>
      <c r="K9" s="4"/>
      <c r="L9" s="63" t="s">
        <v>37</v>
      </c>
      <c r="M9" s="59">
        <f>COUNTIF(B8:B115,"&gt;"&amp;$C$9)</f>
        <v>15</v>
      </c>
      <c r="N9" s="65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  <c r="AI9" s="84"/>
      <c r="AJ9" s="84"/>
      <c r="AK9" s="84"/>
      <c r="AL9" s="84"/>
      <c r="AM9" s="84"/>
      <c r="AN9" s="84"/>
      <c r="AO9" s="84"/>
      <c r="AP9" s="84"/>
      <c r="AQ9" s="84"/>
      <c r="AR9" s="84"/>
      <c r="AS9" s="84"/>
      <c r="AT9" s="84"/>
      <c r="AY9" s="84"/>
      <c r="AZ9" s="84"/>
      <c r="BA9" s="84"/>
      <c r="BB9" s="84"/>
      <c r="BC9" s="84"/>
      <c r="BD9" s="84"/>
      <c r="BE9" s="84"/>
      <c r="BF9" s="84"/>
      <c r="BG9" s="84"/>
      <c r="BH9" s="84"/>
      <c r="BI9" s="84"/>
      <c r="BJ9" s="84"/>
      <c r="BK9" s="84"/>
      <c r="BL9" s="84"/>
      <c r="BM9" s="84"/>
    </row>
    <row r="10" spans="1:65" ht="15.75" thickBot="1">
      <c r="A10" s="80">
        <v>3</v>
      </c>
      <c r="B10" s="134">
        <v>0</v>
      </c>
      <c r="C10" s="124">
        <f t="shared" si="0"/>
        <v>1.88</v>
      </c>
      <c r="D10" s="115">
        <f t="shared" si="2"/>
        <v>5.9933927602406269</v>
      </c>
      <c r="E10" s="110">
        <f t="shared" si="1"/>
        <v>0</v>
      </c>
      <c r="F10" s="112">
        <f t="shared" si="3"/>
        <v>-2.2333927602406272</v>
      </c>
      <c r="G10" s="84"/>
      <c r="H10" s="64"/>
      <c r="I10" s="4"/>
      <c r="J10" s="4"/>
      <c r="K10" s="4"/>
      <c r="L10" s="63" t="s">
        <v>38</v>
      </c>
      <c r="M10" s="63">
        <f>COUNTIF(B8:B115,"&lt;"&amp;$C$9)</f>
        <v>10</v>
      </c>
      <c r="N10" s="65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</row>
    <row r="11" spans="1:65" ht="15.75" thickBot="1">
      <c r="A11" s="80">
        <v>4</v>
      </c>
      <c r="B11" s="134">
        <v>1</v>
      </c>
      <c r="C11" s="124">
        <f t="shared" si="0"/>
        <v>1.88</v>
      </c>
      <c r="D11" s="115">
        <f t="shared" si="2"/>
        <v>5.9933927602406269</v>
      </c>
      <c r="E11" s="110">
        <f t="shared" si="1"/>
        <v>0</v>
      </c>
      <c r="F11" s="112">
        <f t="shared" si="3"/>
        <v>-2.2333927602406272</v>
      </c>
      <c r="G11" s="84"/>
      <c r="H11" s="64"/>
      <c r="I11" s="4"/>
      <c r="J11" s="4"/>
      <c r="K11" s="4"/>
      <c r="L11" s="4"/>
      <c r="M11" s="4"/>
      <c r="N11" s="65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</row>
    <row r="12" spans="1:65" ht="15.75" thickBot="1">
      <c r="A12" s="80">
        <v>5</v>
      </c>
      <c r="B12" s="134">
        <v>3</v>
      </c>
      <c r="C12" s="124">
        <f t="shared" si="0"/>
        <v>1.88</v>
      </c>
      <c r="D12" s="115">
        <f t="shared" si="2"/>
        <v>5.9933927602406269</v>
      </c>
      <c r="E12" s="110">
        <f t="shared" si="1"/>
        <v>0</v>
      </c>
      <c r="F12" s="112">
        <f t="shared" si="3"/>
        <v>-2.2333927602406272</v>
      </c>
      <c r="G12" s="84"/>
      <c r="H12" s="64"/>
      <c r="I12" s="4"/>
      <c r="J12" s="4"/>
      <c r="K12" s="4"/>
      <c r="L12" s="88" t="s">
        <v>42</v>
      </c>
      <c r="M12" s="155">
        <f>SUM(M9:M10)</f>
        <v>25</v>
      </c>
      <c r="N12" s="65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84"/>
      <c r="AT12" s="84"/>
      <c r="AY12" s="84"/>
      <c r="AZ12" s="84"/>
      <c r="BA12" s="84"/>
      <c r="BB12" s="84"/>
      <c r="BC12" s="84"/>
      <c r="BD12" s="84"/>
      <c r="BE12" s="84"/>
      <c r="BF12" s="84"/>
      <c r="BG12" s="84"/>
      <c r="BH12" s="84"/>
      <c r="BI12" s="84"/>
      <c r="BJ12" s="84"/>
      <c r="BK12" s="84"/>
      <c r="BL12" s="84"/>
      <c r="BM12" s="84"/>
    </row>
    <row r="13" spans="1:65" ht="15.75" thickBot="1">
      <c r="A13" s="80">
        <v>6</v>
      </c>
      <c r="B13" s="134">
        <v>5</v>
      </c>
      <c r="C13" s="124">
        <f t="shared" si="0"/>
        <v>1.88</v>
      </c>
      <c r="D13" s="115">
        <f t="shared" si="2"/>
        <v>5.9933927602406269</v>
      </c>
      <c r="E13" s="110">
        <f t="shared" si="1"/>
        <v>0</v>
      </c>
      <c r="F13" s="112">
        <f t="shared" si="3"/>
        <v>-2.2333927602406272</v>
      </c>
      <c r="G13" s="84"/>
      <c r="H13" s="64"/>
      <c r="I13" s="4"/>
      <c r="J13" s="4"/>
      <c r="K13" s="4"/>
      <c r="L13" s="4"/>
      <c r="M13" s="4"/>
      <c r="N13" s="65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4"/>
      <c r="AT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</row>
    <row r="14" spans="1:65" ht="15.75" thickBot="1">
      <c r="A14" s="80">
        <v>7</v>
      </c>
      <c r="B14" s="134">
        <v>3</v>
      </c>
      <c r="C14" s="124">
        <f t="shared" si="0"/>
        <v>1.88</v>
      </c>
      <c r="D14" s="115">
        <f t="shared" si="2"/>
        <v>5.9933927602406269</v>
      </c>
      <c r="E14" s="110">
        <f t="shared" si="1"/>
        <v>0</v>
      </c>
      <c r="F14" s="112">
        <f t="shared" si="3"/>
        <v>-2.2333927602406272</v>
      </c>
      <c r="G14" s="84"/>
      <c r="H14" s="64"/>
      <c r="I14" s="4"/>
      <c r="J14" s="4"/>
      <c r="K14" s="4"/>
      <c r="L14" s="4"/>
      <c r="M14" s="4"/>
      <c r="N14" s="65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4"/>
      <c r="AT14" s="84"/>
      <c r="AY14" s="84"/>
      <c r="AZ14" s="84"/>
      <c r="BA14" s="84"/>
      <c r="BB14" s="84"/>
      <c r="BC14" s="84"/>
      <c r="BD14" s="84"/>
      <c r="BE14" s="84"/>
      <c r="BF14" s="84"/>
      <c r="BG14" s="84"/>
      <c r="BH14" s="84"/>
      <c r="BI14" s="84"/>
      <c r="BJ14" s="84"/>
      <c r="BK14" s="84"/>
      <c r="BL14" s="84"/>
      <c r="BM14" s="84"/>
    </row>
    <row r="15" spans="1:65" ht="15.75" thickBot="1">
      <c r="A15" s="80">
        <v>8</v>
      </c>
      <c r="B15" s="134">
        <v>1</v>
      </c>
      <c r="C15" s="124">
        <f t="shared" si="0"/>
        <v>1.88</v>
      </c>
      <c r="D15" s="115">
        <f t="shared" si="2"/>
        <v>5.9933927602406269</v>
      </c>
      <c r="E15" s="110">
        <f t="shared" si="1"/>
        <v>0</v>
      </c>
      <c r="F15" s="112">
        <f t="shared" si="3"/>
        <v>-2.2333927602406272</v>
      </c>
      <c r="G15" s="84"/>
      <c r="H15" s="64"/>
      <c r="I15" s="4"/>
      <c r="J15" s="4"/>
      <c r="K15" s="4"/>
      <c r="L15" s="4"/>
      <c r="M15" s="4"/>
      <c r="N15" s="65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4"/>
      <c r="AJ15" s="84"/>
      <c r="AK15" s="84"/>
      <c r="AL15" s="84"/>
      <c r="AM15" s="84"/>
      <c r="AN15" s="84"/>
      <c r="AO15" s="84"/>
      <c r="AP15" s="84"/>
      <c r="AQ15" s="84"/>
      <c r="AR15" s="84"/>
      <c r="AS15" s="84"/>
      <c r="AT15" s="84"/>
      <c r="AY15" s="84"/>
      <c r="AZ15" s="84"/>
      <c r="BA15" s="84"/>
      <c r="BB15" s="84"/>
      <c r="BC15" s="84"/>
      <c r="BD15" s="84"/>
      <c r="BE15" s="84"/>
      <c r="BF15" s="84"/>
      <c r="BG15" s="84"/>
      <c r="BH15" s="84"/>
      <c r="BI15" s="84"/>
      <c r="BJ15" s="84"/>
      <c r="BK15" s="84"/>
      <c r="BL15" s="84"/>
      <c r="BM15" s="84"/>
    </row>
    <row r="16" spans="1:65" ht="15.75" thickBot="1">
      <c r="A16" s="80">
        <v>9</v>
      </c>
      <c r="B16" s="134">
        <v>2</v>
      </c>
      <c r="C16" s="124">
        <f t="shared" si="0"/>
        <v>1.88</v>
      </c>
      <c r="D16" s="115">
        <f t="shared" si="2"/>
        <v>5.9933927602406269</v>
      </c>
      <c r="E16" s="110">
        <f t="shared" si="1"/>
        <v>0</v>
      </c>
      <c r="F16" s="112">
        <f t="shared" si="3"/>
        <v>-2.2333927602406272</v>
      </c>
      <c r="G16" s="84"/>
      <c r="H16" s="64"/>
      <c r="I16" s="4"/>
      <c r="J16" s="4"/>
      <c r="K16" s="4"/>
      <c r="L16" s="4"/>
      <c r="M16" s="4"/>
      <c r="N16" s="65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Y16" s="84"/>
      <c r="AZ16" s="84"/>
      <c r="BA16" s="84"/>
      <c r="BB16" s="84"/>
      <c r="BC16" s="84"/>
      <c r="BD16" s="84"/>
      <c r="BE16" s="84"/>
      <c r="BF16" s="84"/>
      <c r="BG16" s="84"/>
      <c r="BH16" s="84"/>
      <c r="BI16" s="84"/>
      <c r="BJ16" s="84"/>
      <c r="BK16" s="84"/>
      <c r="BL16" s="84"/>
      <c r="BM16" s="84"/>
    </row>
    <row r="17" spans="1:65" ht="15.75" thickBot="1">
      <c r="A17" s="80">
        <v>10</v>
      </c>
      <c r="B17" s="134">
        <v>2</v>
      </c>
      <c r="C17" s="124">
        <f t="shared" si="0"/>
        <v>1.88</v>
      </c>
      <c r="D17" s="115">
        <f t="shared" si="2"/>
        <v>5.9933927602406269</v>
      </c>
      <c r="E17" s="110">
        <f t="shared" si="1"/>
        <v>0</v>
      </c>
      <c r="F17" s="112">
        <f t="shared" si="3"/>
        <v>-2.2333927602406272</v>
      </c>
      <c r="G17" s="84"/>
      <c r="H17" s="64"/>
      <c r="I17" s="4"/>
      <c r="J17" s="4"/>
      <c r="K17" s="4"/>
      <c r="L17" s="4"/>
      <c r="M17" s="4"/>
      <c r="N17" s="65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  <c r="AO17" s="84"/>
      <c r="AP17" s="84"/>
      <c r="AQ17" s="84"/>
      <c r="AR17" s="84"/>
      <c r="AS17" s="84"/>
      <c r="AT17" s="84"/>
      <c r="AY17" s="84"/>
      <c r="AZ17" s="84"/>
      <c r="BA17" s="84"/>
      <c r="BB17" s="84"/>
      <c r="BC17" s="84"/>
      <c r="BD17" s="84"/>
      <c r="BE17" s="84"/>
      <c r="BF17" s="84"/>
      <c r="BG17" s="84"/>
      <c r="BH17" s="84"/>
      <c r="BI17" s="84"/>
      <c r="BJ17" s="84"/>
      <c r="BK17" s="84"/>
      <c r="BL17" s="84"/>
      <c r="BM17" s="84"/>
    </row>
    <row r="18" spans="1:65" ht="15.75" thickBot="1">
      <c r="A18" s="80">
        <v>11</v>
      </c>
      <c r="B18" s="134">
        <v>0</v>
      </c>
      <c r="C18" s="124">
        <f t="shared" si="0"/>
        <v>1.88</v>
      </c>
      <c r="D18" s="115">
        <f t="shared" si="2"/>
        <v>5.9933927602406269</v>
      </c>
      <c r="E18" s="110">
        <f t="shared" si="1"/>
        <v>0</v>
      </c>
      <c r="F18" s="112">
        <f t="shared" si="3"/>
        <v>-2.2333927602406272</v>
      </c>
      <c r="G18" s="84"/>
      <c r="H18" s="64"/>
      <c r="I18" s="4"/>
      <c r="J18" s="4"/>
      <c r="K18" s="4"/>
      <c r="L18" s="4"/>
      <c r="M18" s="4"/>
      <c r="N18" s="65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Y18" s="84"/>
      <c r="AZ18" s="84"/>
      <c r="BA18" s="84"/>
      <c r="BB18" s="84"/>
      <c r="BC18" s="84"/>
      <c r="BD18" s="84"/>
      <c r="BE18" s="84"/>
      <c r="BF18" s="84"/>
      <c r="BG18" s="84"/>
      <c r="BH18" s="84"/>
      <c r="BI18" s="84"/>
      <c r="BJ18" s="84"/>
      <c r="BK18" s="84"/>
      <c r="BL18" s="84"/>
      <c r="BM18" s="84"/>
    </row>
    <row r="19" spans="1:65" ht="15.75" thickBot="1">
      <c r="A19" s="80">
        <v>12</v>
      </c>
      <c r="B19" s="134">
        <v>1</v>
      </c>
      <c r="C19" s="124">
        <f t="shared" si="0"/>
        <v>1.88</v>
      </c>
      <c r="D19" s="115">
        <f t="shared" si="2"/>
        <v>5.9933927602406269</v>
      </c>
      <c r="E19" s="110">
        <f t="shared" si="1"/>
        <v>0</v>
      </c>
      <c r="F19" s="112">
        <f t="shared" si="3"/>
        <v>-2.2333927602406272</v>
      </c>
      <c r="G19" s="84"/>
      <c r="H19" s="64"/>
      <c r="I19" s="4"/>
      <c r="J19" s="4"/>
      <c r="K19" s="4"/>
      <c r="L19" s="4"/>
      <c r="M19" s="4"/>
      <c r="N19" s="65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4"/>
      <c r="AS19" s="84"/>
      <c r="AT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</row>
    <row r="20" spans="1:65" ht="15.75" thickBot="1">
      <c r="A20" s="80">
        <v>13</v>
      </c>
      <c r="B20" s="134">
        <v>2</v>
      </c>
      <c r="C20" s="124">
        <f t="shared" si="0"/>
        <v>1.88</v>
      </c>
      <c r="D20" s="115">
        <f t="shared" si="2"/>
        <v>5.9933927602406269</v>
      </c>
      <c r="E20" s="110">
        <f t="shared" si="1"/>
        <v>0</v>
      </c>
      <c r="F20" s="112">
        <f t="shared" si="3"/>
        <v>-2.2333927602406272</v>
      </c>
      <c r="G20" s="84"/>
      <c r="H20" s="64"/>
      <c r="I20" s="4"/>
      <c r="J20" s="4"/>
      <c r="K20" s="4"/>
      <c r="L20" s="4"/>
      <c r="M20" s="4"/>
      <c r="N20" s="65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4"/>
      <c r="AS20" s="84"/>
      <c r="AT20" s="84"/>
      <c r="AY20" s="84"/>
      <c r="AZ20" s="84"/>
      <c r="BA20" s="84"/>
      <c r="BB20" s="84"/>
      <c r="BC20" s="84"/>
      <c r="BD20" s="84"/>
      <c r="BE20" s="84"/>
      <c r="BF20" s="84"/>
      <c r="BG20" s="84"/>
      <c r="BH20" s="84"/>
      <c r="BI20" s="84"/>
      <c r="BJ20" s="84"/>
      <c r="BK20" s="84"/>
      <c r="BL20" s="84"/>
      <c r="BM20" s="84"/>
    </row>
    <row r="21" spans="1:65" ht="15.75" thickBot="1">
      <c r="A21" s="80">
        <v>14</v>
      </c>
      <c r="B21" s="134">
        <v>4</v>
      </c>
      <c r="C21" s="124">
        <f t="shared" si="0"/>
        <v>1.88</v>
      </c>
      <c r="D21" s="115">
        <f t="shared" si="2"/>
        <v>5.9933927602406269</v>
      </c>
      <c r="E21" s="110">
        <f t="shared" si="1"/>
        <v>0</v>
      </c>
      <c r="F21" s="112">
        <f t="shared" si="3"/>
        <v>-2.2333927602406272</v>
      </c>
      <c r="G21" s="84"/>
      <c r="H21" s="64"/>
      <c r="I21" s="4"/>
      <c r="J21" s="4"/>
      <c r="K21" s="4"/>
      <c r="L21" s="4"/>
      <c r="M21" s="4"/>
      <c r="N21" s="65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4"/>
      <c r="AT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</row>
    <row r="22" spans="1:65" ht="15.75" thickBot="1">
      <c r="A22" s="80">
        <v>15</v>
      </c>
      <c r="B22" s="134">
        <v>1</v>
      </c>
      <c r="C22" s="124">
        <f t="shared" si="0"/>
        <v>1.88</v>
      </c>
      <c r="D22" s="115">
        <f t="shared" si="2"/>
        <v>5.9933927602406269</v>
      </c>
      <c r="E22" s="110">
        <f t="shared" si="1"/>
        <v>0</v>
      </c>
      <c r="F22" s="112">
        <f t="shared" si="3"/>
        <v>-2.2333927602406272</v>
      </c>
      <c r="G22" s="84"/>
      <c r="H22" s="64"/>
      <c r="I22" s="4"/>
      <c r="J22" s="4"/>
      <c r="K22" s="4"/>
      <c r="L22" s="4"/>
      <c r="M22" s="4"/>
      <c r="N22" s="65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</row>
    <row r="23" spans="1:65" ht="15.75" thickBot="1">
      <c r="A23" s="80">
        <v>16</v>
      </c>
      <c r="B23" s="134">
        <v>2</v>
      </c>
      <c r="C23" s="124">
        <f t="shared" si="0"/>
        <v>1.88</v>
      </c>
      <c r="D23" s="115">
        <f t="shared" si="2"/>
        <v>5.9933927602406269</v>
      </c>
      <c r="E23" s="110">
        <f t="shared" si="1"/>
        <v>0</v>
      </c>
      <c r="F23" s="112">
        <f t="shared" si="3"/>
        <v>-2.2333927602406272</v>
      </c>
      <c r="G23" s="84"/>
      <c r="H23" s="64"/>
      <c r="I23" s="4"/>
      <c r="J23" s="4"/>
      <c r="K23" s="4"/>
      <c r="L23" s="4"/>
      <c r="M23" s="4"/>
      <c r="N23" s="65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4"/>
      <c r="AS23" s="84"/>
      <c r="AT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</row>
    <row r="24" spans="1:65" ht="15.75" thickBot="1">
      <c r="A24" s="80">
        <v>17</v>
      </c>
      <c r="B24" s="134">
        <v>0</v>
      </c>
      <c r="C24" s="124">
        <f t="shared" si="0"/>
        <v>1.88</v>
      </c>
      <c r="D24" s="115">
        <f t="shared" si="2"/>
        <v>5.9933927602406269</v>
      </c>
      <c r="E24" s="110">
        <f t="shared" si="1"/>
        <v>0</v>
      </c>
      <c r="F24" s="112">
        <f t="shared" si="3"/>
        <v>-2.2333927602406272</v>
      </c>
      <c r="G24" s="84"/>
      <c r="H24" s="64"/>
      <c r="I24" s="4"/>
      <c r="J24" s="4"/>
      <c r="K24" s="4"/>
      <c r="L24" s="4"/>
      <c r="M24" s="4"/>
      <c r="N24" s="65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  <c r="AL24" s="84"/>
      <c r="AM24" s="84"/>
      <c r="AN24" s="84"/>
      <c r="AO24" s="84"/>
      <c r="AP24" s="84"/>
      <c r="AQ24" s="84"/>
      <c r="AR24" s="84"/>
      <c r="AS24" s="84"/>
      <c r="AT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</row>
    <row r="25" spans="1:65" ht="15.75" thickBot="1">
      <c r="A25" s="80">
        <v>18</v>
      </c>
      <c r="B25" s="134">
        <v>3</v>
      </c>
      <c r="C25" s="124">
        <f t="shared" si="0"/>
        <v>1.88</v>
      </c>
      <c r="D25" s="115">
        <f t="shared" si="2"/>
        <v>5.9933927602406269</v>
      </c>
      <c r="E25" s="110">
        <f t="shared" si="1"/>
        <v>0</v>
      </c>
      <c r="F25" s="112">
        <f t="shared" si="3"/>
        <v>-2.2333927602406272</v>
      </c>
      <c r="G25" s="84"/>
      <c r="H25" s="64"/>
      <c r="I25" s="4"/>
      <c r="J25" s="4"/>
      <c r="K25" s="4"/>
      <c r="L25" s="4"/>
      <c r="M25" s="4"/>
      <c r="N25" s="65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  <c r="AN25" s="84"/>
      <c r="AO25" s="84"/>
      <c r="AP25" s="84"/>
      <c r="AQ25" s="84"/>
      <c r="AR25" s="84"/>
      <c r="AS25" s="84"/>
      <c r="AT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</row>
    <row r="26" spans="1:65" ht="15.75" thickBot="1">
      <c r="A26" s="80">
        <v>19</v>
      </c>
      <c r="B26" s="134">
        <v>2</v>
      </c>
      <c r="C26" s="124">
        <f t="shared" si="0"/>
        <v>1.88</v>
      </c>
      <c r="D26" s="115">
        <f t="shared" si="2"/>
        <v>5.9933927602406269</v>
      </c>
      <c r="E26" s="110">
        <f t="shared" si="1"/>
        <v>0</v>
      </c>
      <c r="F26" s="112">
        <f t="shared" si="3"/>
        <v>-2.2333927602406272</v>
      </c>
      <c r="G26" s="84"/>
      <c r="H26" s="64"/>
      <c r="I26" s="4"/>
      <c r="J26" s="4"/>
      <c r="K26" s="4"/>
      <c r="L26" s="4"/>
      <c r="M26" s="4"/>
      <c r="N26" s="65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84"/>
      <c r="AN26" s="84"/>
      <c r="AO26" s="84"/>
      <c r="AP26" s="84"/>
      <c r="AQ26" s="84"/>
      <c r="AR26" s="84"/>
      <c r="AS26" s="84"/>
      <c r="AT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</row>
    <row r="27" spans="1:65" ht="15.75" thickBot="1">
      <c r="A27" s="80">
        <v>20</v>
      </c>
      <c r="B27" s="134">
        <v>2</v>
      </c>
      <c r="C27" s="124">
        <f t="shared" si="0"/>
        <v>1.88</v>
      </c>
      <c r="D27" s="115">
        <f t="shared" si="2"/>
        <v>5.9933927602406269</v>
      </c>
      <c r="E27" s="110">
        <f t="shared" si="1"/>
        <v>0</v>
      </c>
      <c r="F27" s="112">
        <f t="shared" si="3"/>
        <v>-2.2333927602406272</v>
      </c>
      <c r="G27" s="84"/>
      <c r="H27" s="64"/>
      <c r="I27" s="4"/>
      <c r="J27" s="4"/>
      <c r="K27" s="4"/>
      <c r="L27" s="4"/>
      <c r="M27" s="4"/>
      <c r="N27" s="65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84"/>
      <c r="AN27" s="84"/>
      <c r="AO27" s="84"/>
      <c r="AP27" s="84"/>
      <c r="AQ27" s="84"/>
      <c r="AR27" s="84"/>
      <c r="AS27" s="84"/>
      <c r="AT27" s="84"/>
      <c r="AY27" s="84"/>
      <c r="AZ27" s="84"/>
      <c r="BA27" s="84"/>
      <c r="BB27" s="84"/>
      <c r="BC27" s="84"/>
      <c r="BD27" s="84"/>
      <c r="BE27" s="84"/>
      <c r="BF27" s="84"/>
      <c r="BG27" s="84"/>
      <c r="BH27" s="84"/>
      <c r="BI27" s="84"/>
      <c r="BJ27" s="84"/>
      <c r="BK27" s="84"/>
      <c r="BL27" s="84"/>
      <c r="BM27" s="84"/>
    </row>
    <row r="28" spans="1:65" ht="15.75" thickBot="1">
      <c r="A28" s="80">
        <v>21</v>
      </c>
      <c r="B28" s="134">
        <v>1</v>
      </c>
      <c r="C28" s="124">
        <f t="shared" si="0"/>
        <v>1.88</v>
      </c>
      <c r="D28" s="115">
        <f t="shared" si="2"/>
        <v>5.9933927602406269</v>
      </c>
      <c r="E28" s="110">
        <f t="shared" si="1"/>
        <v>0</v>
      </c>
      <c r="F28" s="112">
        <f t="shared" si="3"/>
        <v>-2.2333927602406272</v>
      </c>
      <c r="G28" s="84"/>
      <c r="H28" s="64"/>
      <c r="I28" s="4"/>
      <c r="J28" s="4"/>
      <c r="K28" s="4"/>
      <c r="L28" s="4"/>
      <c r="M28" s="4"/>
      <c r="N28" s="65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</row>
    <row r="29" spans="1:65" ht="15.75" thickBot="1">
      <c r="A29" s="80">
        <v>22</v>
      </c>
      <c r="B29" s="134">
        <v>4</v>
      </c>
      <c r="C29" s="124">
        <f t="shared" si="0"/>
        <v>1.88</v>
      </c>
      <c r="D29" s="115">
        <f t="shared" si="2"/>
        <v>5.9933927602406269</v>
      </c>
      <c r="E29" s="110">
        <f t="shared" si="1"/>
        <v>0</v>
      </c>
      <c r="F29" s="112">
        <f t="shared" si="3"/>
        <v>-2.2333927602406272</v>
      </c>
      <c r="G29" s="84"/>
      <c r="H29" s="64"/>
      <c r="I29" s="4"/>
      <c r="J29" s="4"/>
      <c r="K29" s="4"/>
      <c r="L29" s="4"/>
      <c r="M29" s="4"/>
      <c r="N29" s="65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  <c r="AO29" s="84"/>
      <c r="AP29" s="84"/>
      <c r="AQ29" s="84"/>
      <c r="AR29" s="84"/>
      <c r="AS29" s="84"/>
      <c r="AT29" s="84"/>
      <c r="AY29" s="84"/>
      <c r="AZ29" s="84"/>
      <c r="BA29" s="84"/>
      <c r="BB29" s="84"/>
      <c r="BC29" s="84"/>
      <c r="BD29" s="84"/>
      <c r="BE29" s="84"/>
      <c r="BF29" s="84"/>
      <c r="BG29" s="84"/>
      <c r="BH29" s="84"/>
      <c r="BI29" s="84"/>
      <c r="BJ29" s="84"/>
      <c r="BK29" s="84"/>
      <c r="BL29" s="84"/>
      <c r="BM29" s="84"/>
    </row>
    <row r="30" spans="1:65" ht="15.75" thickBot="1">
      <c r="A30" s="80">
        <v>23</v>
      </c>
      <c r="B30" s="134">
        <v>0</v>
      </c>
      <c r="C30" s="124">
        <f t="shared" si="0"/>
        <v>1.88</v>
      </c>
      <c r="D30" s="115">
        <f t="shared" si="2"/>
        <v>5.9933927602406269</v>
      </c>
      <c r="E30" s="110">
        <f t="shared" si="1"/>
        <v>0</v>
      </c>
      <c r="F30" s="112">
        <f t="shared" si="3"/>
        <v>-2.2333927602406272</v>
      </c>
      <c r="G30" s="84"/>
      <c r="H30" s="64"/>
      <c r="I30" s="4"/>
      <c r="J30" s="4"/>
      <c r="K30" s="4"/>
      <c r="L30" s="4"/>
      <c r="M30" s="4"/>
      <c r="N30" s="65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  <c r="AS30" s="84"/>
      <c r="AT30" s="84"/>
      <c r="AY30" s="84"/>
      <c r="AZ30" s="84"/>
      <c r="BA30" s="84"/>
      <c r="BB30" s="84"/>
      <c r="BC30" s="84"/>
      <c r="BD30" s="84"/>
      <c r="BE30" s="84"/>
      <c r="BF30" s="84"/>
      <c r="BG30" s="84"/>
      <c r="BH30" s="84"/>
      <c r="BI30" s="84"/>
      <c r="BJ30" s="84"/>
      <c r="BK30" s="84"/>
      <c r="BL30" s="84"/>
      <c r="BM30" s="84"/>
    </row>
    <row r="31" spans="1:65" ht="15.75" thickBot="1">
      <c r="A31" s="80">
        <v>24</v>
      </c>
      <c r="B31" s="134">
        <v>0</v>
      </c>
      <c r="C31" s="124">
        <f t="shared" si="0"/>
        <v>1.88</v>
      </c>
      <c r="D31" s="115">
        <f t="shared" si="2"/>
        <v>5.9933927602406269</v>
      </c>
      <c r="E31" s="110">
        <f t="shared" si="1"/>
        <v>0</v>
      </c>
      <c r="F31" s="112">
        <f t="shared" si="3"/>
        <v>-2.2333927602406272</v>
      </c>
      <c r="G31" s="84"/>
      <c r="H31" s="64"/>
      <c r="I31" s="4"/>
      <c r="J31" s="4"/>
      <c r="K31" s="4"/>
      <c r="L31" s="4"/>
      <c r="M31" s="4"/>
      <c r="N31" s="65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4"/>
      <c r="AS31" s="84"/>
      <c r="AT31" s="84"/>
      <c r="AY31" s="84"/>
      <c r="AZ31" s="84"/>
      <c r="BA31" s="84"/>
      <c r="BB31" s="84"/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</row>
    <row r="32" spans="1:65" ht="15.75" thickBot="1">
      <c r="A32" s="80">
        <v>25</v>
      </c>
      <c r="B32" s="134">
        <v>3</v>
      </c>
      <c r="C32" s="124">
        <f t="shared" si="0"/>
        <v>1.88</v>
      </c>
      <c r="D32" s="115">
        <f t="shared" si="2"/>
        <v>5.9933927602406269</v>
      </c>
      <c r="E32" s="110">
        <f t="shared" si="1"/>
        <v>0</v>
      </c>
      <c r="F32" s="112">
        <f t="shared" si="3"/>
        <v>-2.2333927602406272</v>
      </c>
      <c r="G32" s="84"/>
      <c r="H32" s="64"/>
      <c r="I32" s="4"/>
      <c r="J32" s="4"/>
      <c r="K32" s="4"/>
      <c r="L32" s="4"/>
      <c r="M32" s="4"/>
      <c r="N32" s="65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4"/>
      <c r="AS32" s="84"/>
      <c r="AT32" s="84"/>
      <c r="AY32" s="84"/>
      <c r="AZ32" s="84"/>
      <c r="BA32" s="84"/>
      <c r="BB32" s="84"/>
      <c r="BC32" s="84"/>
      <c r="BD32" s="84"/>
      <c r="BE32" s="84"/>
      <c r="BF32" s="84"/>
      <c r="BG32" s="84"/>
      <c r="BH32" s="84"/>
      <c r="BI32" s="84"/>
      <c r="BJ32" s="84"/>
      <c r="BK32" s="84"/>
      <c r="BL32" s="84"/>
      <c r="BM32" s="84"/>
    </row>
    <row r="33" spans="1:65" ht="15.75" thickBot="1">
      <c r="A33" s="2"/>
      <c r="B33" s="134"/>
      <c r="C33" s="124" t="str">
        <f t="shared" si="0"/>
        <v/>
      </c>
      <c r="D33" s="115" t="str">
        <f t="shared" si="2"/>
        <v/>
      </c>
      <c r="E33" s="110" t="str">
        <f t="shared" si="1"/>
        <v/>
      </c>
      <c r="F33" s="112" t="str">
        <f t="shared" si="3"/>
        <v/>
      </c>
      <c r="G33" s="84"/>
      <c r="H33" s="64"/>
      <c r="I33" s="4"/>
      <c r="J33" s="4"/>
      <c r="K33" s="4"/>
      <c r="L33" s="4"/>
      <c r="M33" s="4"/>
      <c r="N33" s="65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84"/>
      <c r="AN33" s="84"/>
      <c r="AO33" s="84"/>
      <c r="AP33" s="84"/>
      <c r="AQ33" s="84"/>
      <c r="AR33" s="84"/>
      <c r="AS33" s="84"/>
      <c r="AT33" s="84"/>
      <c r="AY33" s="84"/>
      <c r="AZ33" s="84"/>
      <c r="BA33" s="84"/>
      <c r="BB33" s="84"/>
      <c r="BC33" s="84"/>
      <c r="BD33" s="84"/>
      <c r="BE33" s="84"/>
      <c r="BF33" s="84"/>
      <c r="BG33" s="84"/>
      <c r="BH33" s="84"/>
      <c r="BI33" s="84"/>
      <c r="BJ33" s="84"/>
      <c r="BK33" s="84"/>
      <c r="BL33" s="84"/>
      <c r="BM33" s="84"/>
    </row>
    <row r="34" spans="1:65" ht="15.75" thickBot="1">
      <c r="A34" s="2"/>
      <c r="B34" s="134"/>
      <c r="C34" s="124" t="str">
        <f t="shared" si="0"/>
        <v/>
      </c>
      <c r="D34" s="115" t="str">
        <f t="shared" si="2"/>
        <v/>
      </c>
      <c r="E34" s="110" t="str">
        <f t="shared" si="1"/>
        <v/>
      </c>
      <c r="F34" s="112" t="str">
        <f t="shared" si="3"/>
        <v/>
      </c>
      <c r="G34" s="84"/>
      <c r="H34" s="66"/>
      <c r="I34" s="67"/>
      <c r="J34" s="67"/>
      <c r="K34" s="67"/>
      <c r="L34" s="67"/>
      <c r="M34" s="67"/>
      <c r="N34" s="68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</row>
    <row r="35" spans="1:65" ht="15.75" thickBot="1">
      <c r="A35" s="2"/>
      <c r="B35" s="134"/>
      <c r="C35" s="124" t="str">
        <f t="shared" si="0"/>
        <v/>
      </c>
      <c r="D35" s="115" t="str">
        <f t="shared" si="2"/>
        <v/>
      </c>
      <c r="E35" s="110" t="str">
        <f t="shared" si="1"/>
        <v/>
      </c>
      <c r="F35" s="112" t="str">
        <f t="shared" si="3"/>
        <v/>
      </c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  <c r="AN35" s="84"/>
      <c r="AO35" s="84"/>
      <c r="AP35" s="84"/>
      <c r="AQ35" s="84"/>
      <c r="AR35" s="84"/>
      <c r="AS35" s="84"/>
      <c r="AT35" s="84"/>
      <c r="AY35" s="84"/>
      <c r="AZ35" s="84"/>
      <c r="BA35" s="84"/>
      <c r="BB35" s="84"/>
      <c r="BC35" s="84"/>
      <c r="BD35" s="84"/>
      <c r="BE35" s="84"/>
      <c r="BF35" s="84"/>
      <c r="BG35" s="84"/>
      <c r="BH35" s="84"/>
      <c r="BI35" s="84"/>
      <c r="BJ35" s="84"/>
      <c r="BK35" s="84"/>
      <c r="BL35" s="84"/>
      <c r="BM35" s="84"/>
    </row>
    <row r="36" spans="1:65" ht="15.75" thickBot="1">
      <c r="A36" s="2"/>
      <c r="B36" s="134"/>
      <c r="C36" s="124" t="str">
        <f t="shared" si="0"/>
        <v/>
      </c>
      <c r="D36" s="115" t="str">
        <f t="shared" si="2"/>
        <v/>
      </c>
      <c r="E36" s="110" t="str">
        <f t="shared" si="1"/>
        <v/>
      </c>
      <c r="F36" s="112" t="str">
        <f t="shared" si="3"/>
        <v/>
      </c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84"/>
      <c r="AP36" s="84"/>
      <c r="AQ36" s="84"/>
      <c r="AR36" s="84"/>
      <c r="AS36" s="84"/>
      <c r="AT36" s="84"/>
      <c r="AY36" s="84"/>
      <c r="AZ36" s="84"/>
      <c r="BA36" s="84"/>
      <c r="BB36" s="84"/>
      <c r="BC36" s="84"/>
      <c r="BD36" s="84"/>
      <c r="BE36" s="84"/>
      <c r="BF36" s="84"/>
      <c r="BG36" s="84"/>
      <c r="BH36" s="84"/>
      <c r="BI36" s="84"/>
      <c r="BJ36" s="84"/>
      <c r="BK36" s="84"/>
      <c r="BL36" s="84"/>
      <c r="BM36" s="84"/>
    </row>
    <row r="37" spans="1:65" ht="15.75" thickBot="1">
      <c r="A37" s="2"/>
      <c r="B37" s="134"/>
      <c r="C37" s="124" t="str">
        <f t="shared" si="0"/>
        <v/>
      </c>
      <c r="D37" s="115" t="str">
        <f t="shared" si="2"/>
        <v/>
      </c>
      <c r="E37" s="110" t="str">
        <f t="shared" si="1"/>
        <v/>
      </c>
      <c r="F37" s="112" t="str">
        <f t="shared" si="3"/>
        <v/>
      </c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Y37" s="84"/>
      <c r="AZ37" s="84"/>
      <c r="BA37" s="84"/>
      <c r="BB37" s="84"/>
      <c r="BC37" s="84"/>
      <c r="BD37" s="84"/>
      <c r="BE37" s="84"/>
      <c r="BF37" s="84"/>
      <c r="BG37" s="84"/>
      <c r="BH37" s="84"/>
      <c r="BI37" s="84"/>
      <c r="BJ37" s="84"/>
      <c r="BK37" s="84"/>
      <c r="BL37" s="84"/>
      <c r="BM37" s="84"/>
    </row>
    <row r="38" spans="1:65" ht="15.75" thickBot="1">
      <c r="A38" s="2"/>
      <c r="B38" s="134"/>
      <c r="C38" s="124" t="str">
        <f t="shared" si="0"/>
        <v/>
      </c>
      <c r="D38" s="115" t="str">
        <f t="shared" si="2"/>
        <v/>
      </c>
      <c r="E38" s="110" t="str">
        <f t="shared" si="1"/>
        <v/>
      </c>
      <c r="F38" s="112" t="str">
        <f t="shared" si="3"/>
        <v/>
      </c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  <c r="AO38" s="84"/>
      <c r="AP38" s="84"/>
      <c r="AQ38" s="84"/>
      <c r="AR38" s="84"/>
      <c r="AS38" s="84"/>
      <c r="AT38" s="84"/>
      <c r="AU38" s="84"/>
      <c r="AV38" s="84"/>
      <c r="AW38" s="84"/>
      <c r="AX38" s="84"/>
      <c r="AY38" s="84"/>
      <c r="AZ38" s="84"/>
      <c r="BA38" s="84"/>
      <c r="BB38" s="84"/>
      <c r="BC38" s="84"/>
      <c r="BD38" s="84"/>
      <c r="BE38" s="84"/>
      <c r="BF38" s="84"/>
      <c r="BG38" s="84"/>
      <c r="BH38" s="84"/>
      <c r="BI38" s="84"/>
      <c r="BJ38" s="84"/>
      <c r="BK38" s="84"/>
      <c r="BL38" s="84"/>
      <c r="BM38" s="84"/>
    </row>
    <row r="39" spans="1:65" ht="15.75" thickBot="1">
      <c r="A39" s="2"/>
      <c r="B39" s="134"/>
      <c r="C39" s="124" t="str">
        <f t="shared" si="0"/>
        <v/>
      </c>
      <c r="D39" s="115" t="str">
        <f t="shared" si="2"/>
        <v/>
      </c>
      <c r="E39" s="110" t="str">
        <f t="shared" si="1"/>
        <v/>
      </c>
      <c r="F39" s="112" t="str">
        <f t="shared" si="3"/>
        <v/>
      </c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4"/>
      <c r="AW39" s="84"/>
      <c r="AX39" s="84"/>
      <c r="AY39" s="84"/>
      <c r="AZ39" s="84"/>
      <c r="BA39" s="84"/>
      <c r="BB39" s="84"/>
      <c r="BC39" s="84"/>
      <c r="BD39" s="84"/>
      <c r="BE39" s="84"/>
      <c r="BF39" s="84"/>
      <c r="BG39" s="84"/>
      <c r="BH39" s="84"/>
      <c r="BI39" s="84"/>
      <c r="BJ39" s="84"/>
      <c r="BK39" s="84"/>
      <c r="BL39" s="84"/>
      <c r="BM39" s="84"/>
    </row>
    <row r="40" spans="1:65" ht="15.75" thickBot="1">
      <c r="A40" s="2"/>
      <c r="B40" s="134"/>
      <c r="C40" s="124" t="str">
        <f t="shared" ref="C40:C71" si="4">IF(B40="","",AVERAGE($B$8:$B$116))</f>
        <v/>
      </c>
      <c r="D40" s="115" t="str">
        <f t="shared" si="2"/>
        <v/>
      </c>
      <c r="E40" s="110" t="str">
        <f t="shared" ref="E40:E71" si="5">IF(F40&lt;0,0,F40)</f>
        <v/>
      </c>
      <c r="F40" s="112" t="str">
        <f t="shared" si="3"/>
        <v/>
      </c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4"/>
      <c r="AS40" s="84"/>
      <c r="AT40" s="84"/>
      <c r="AU40" s="84"/>
      <c r="AV40" s="84"/>
      <c r="AW40" s="84"/>
      <c r="AX40" s="84"/>
      <c r="AY40" s="84"/>
      <c r="AZ40" s="84"/>
      <c r="BA40" s="84"/>
      <c r="BB40" s="84"/>
      <c r="BC40" s="84"/>
      <c r="BD40" s="84"/>
      <c r="BE40" s="84"/>
      <c r="BF40" s="84"/>
      <c r="BG40" s="84"/>
      <c r="BH40" s="84"/>
      <c r="BI40" s="84"/>
      <c r="BJ40" s="84"/>
      <c r="BK40" s="84"/>
      <c r="BL40" s="84"/>
      <c r="BM40" s="84"/>
    </row>
    <row r="41" spans="1:65" ht="15.75" thickBot="1">
      <c r="A41" s="2"/>
      <c r="B41" s="134"/>
      <c r="C41" s="124" t="str">
        <f t="shared" si="4"/>
        <v/>
      </c>
      <c r="D41" s="115" t="str">
        <f t="shared" si="2"/>
        <v/>
      </c>
      <c r="E41" s="110" t="str">
        <f t="shared" si="5"/>
        <v/>
      </c>
      <c r="F41" s="112" t="str">
        <f t="shared" si="3"/>
        <v/>
      </c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84"/>
      <c r="AW41" s="84"/>
      <c r="AX41" s="84"/>
      <c r="AY41" s="84"/>
      <c r="AZ41" s="84"/>
      <c r="BA41" s="84"/>
      <c r="BB41" s="84"/>
      <c r="BC41" s="84"/>
      <c r="BD41" s="84"/>
      <c r="BE41" s="84"/>
      <c r="BF41" s="84"/>
      <c r="BG41" s="84"/>
      <c r="BH41" s="84"/>
      <c r="BI41" s="84"/>
      <c r="BJ41" s="84"/>
      <c r="BK41" s="84"/>
      <c r="BL41" s="84"/>
      <c r="BM41" s="84"/>
    </row>
    <row r="42" spans="1:65" ht="15.75" thickBot="1">
      <c r="A42" s="2"/>
      <c r="B42" s="134"/>
      <c r="C42" s="124" t="str">
        <f t="shared" si="4"/>
        <v/>
      </c>
      <c r="D42" s="115" t="str">
        <f t="shared" si="2"/>
        <v/>
      </c>
      <c r="E42" s="110" t="str">
        <f t="shared" si="5"/>
        <v/>
      </c>
      <c r="F42" s="112" t="str">
        <f t="shared" si="3"/>
        <v/>
      </c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4"/>
      <c r="AS42" s="84"/>
      <c r="AT42" s="84"/>
      <c r="AU42" s="84"/>
      <c r="AV42" s="84"/>
      <c r="AW42" s="84"/>
      <c r="AX42" s="84"/>
      <c r="AY42" s="84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84"/>
      <c r="BL42" s="84"/>
      <c r="BM42" s="84"/>
    </row>
    <row r="43" spans="1:65" ht="15.75" thickBot="1">
      <c r="A43" s="2"/>
      <c r="B43" s="134"/>
      <c r="C43" s="124" t="str">
        <f t="shared" si="4"/>
        <v/>
      </c>
      <c r="D43" s="115" t="str">
        <f t="shared" si="2"/>
        <v/>
      </c>
      <c r="E43" s="110" t="str">
        <f t="shared" si="5"/>
        <v/>
      </c>
      <c r="F43" s="112" t="str">
        <f t="shared" si="3"/>
        <v/>
      </c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4"/>
      <c r="AS43" s="84"/>
      <c r="AT43" s="84"/>
      <c r="AU43" s="84"/>
      <c r="AV43" s="84"/>
      <c r="AW43" s="84"/>
      <c r="AX43" s="84"/>
      <c r="AY43" s="84"/>
      <c r="AZ43" s="84"/>
      <c r="BA43" s="84"/>
      <c r="BB43" s="84"/>
      <c r="BC43" s="84"/>
      <c r="BD43" s="84"/>
      <c r="BE43" s="84"/>
      <c r="BF43" s="84"/>
      <c r="BG43" s="84"/>
      <c r="BH43" s="84"/>
      <c r="BI43" s="84"/>
      <c r="BJ43" s="84"/>
      <c r="BK43" s="84"/>
      <c r="BL43" s="84"/>
      <c r="BM43" s="84"/>
    </row>
    <row r="44" spans="1:65" ht="15.75" thickBot="1">
      <c r="A44" s="2"/>
      <c r="B44" s="134"/>
      <c r="C44" s="124" t="str">
        <f t="shared" si="4"/>
        <v/>
      </c>
      <c r="D44" s="115" t="str">
        <f t="shared" si="2"/>
        <v/>
      </c>
      <c r="E44" s="110" t="str">
        <f t="shared" si="5"/>
        <v/>
      </c>
      <c r="F44" s="112" t="str">
        <f t="shared" si="3"/>
        <v/>
      </c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4"/>
      <c r="AS44" s="84"/>
      <c r="AT44" s="84"/>
      <c r="AU44" s="84"/>
      <c r="AV44" s="84"/>
      <c r="AW44" s="84"/>
      <c r="AX44" s="84"/>
      <c r="AY44" s="84"/>
      <c r="AZ44" s="84"/>
      <c r="BA44" s="84"/>
      <c r="BB44" s="84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</row>
    <row r="45" spans="1:65" ht="15.75" thickBot="1">
      <c r="A45" s="2"/>
      <c r="B45" s="134"/>
      <c r="C45" s="124" t="str">
        <f t="shared" si="4"/>
        <v/>
      </c>
      <c r="D45" s="115" t="str">
        <f t="shared" si="2"/>
        <v/>
      </c>
      <c r="E45" s="110" t="str">
        <f t="shared" si="5"/>
        <v/>
      </c>
      <c r="F45" s="112" t="str">
        <f t="shared" si="3"/>
        <v/>
      </c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  <c r="AO45" s="84"/>
      <c r="AP45" s="84"/>
      <c r="AQ45" s="84"/>
      <c r="AR45" s="84"/>
      <c r="AS45" s="84"/>
      <c r="AT45" s="84"/>
      <c r="AU45" s="84"/>
      <c r="AV45" s="84"/>
      <c r="AW45" s="84"/>
      <c r="AX45" s="84"/>
      <c r="AY45" s="84"/>
      <c r="AZ45" s="84"/>
      <c r="BA45" s="84"/>
      <c r="BB45" s="84"/>
      <c r="BC45" s="84"/>
      <c r="BD45" s="84"/>
      <c r="BE45" s="84"/>
      <c r="BF45" s="84"/>
      <c r="BG45" s="84"/>
      <c r="BH45" s="84"/>
      <c r="BI45" s="84"/>
      <c r="BJ45" s="84"/>
      <c r="BK45" s="84"/>
      <c r="BL45" s="84"/>
      <c r="BM45" s="84"/>
    </row>
    <row r="46" spans="1:65" ht="15.75" thickBot="1">
      <c r="A46" s="2"/>
      <c r="B46" s="134"/>
      <c r="C46" s="124" t="str">
        <f t="shared" si="4"/>
        <v/>
      </c>
      <c r="D46" s="115" t="str">
        <f t="shared" si="2"/>
        <v/>
      </c>
      <c r="E46" s="110" t="str">
        <f t="shared" si="5"/>
        <v/>
      </c>
      <c r="F46" s="112" t="str">
        <f t="shared" si="3"/>
        <v/>
      </c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  <c r="AO46" s="84"/>
      <c r="AP46" s="84"/>
      <c r="AQ46" s="84"/>
      <c r="AR46" s="84"/>
      <c r="AS46" s="84"/>
      <c r="AT46" s="84"/>
      <c r="AU46" s="84"/>
      <c r="AV46" s="84"/>
      <c r="AW46" s="84"/>
      <c r="AX46" s="84"/>
      <c r="AY46" s="84"/>
      <c r="AZ46" s="84"/>
      <c r="BA46" s="84"/>
      <c r="BB46" s="84"/>
      <c r="BC46" s="84"/>
      <c r="BD46" s="84"/>
      <c r="BE46" s="84"/>
      <c r="BF46" s="84"/>
      <c r="BG46" s="84"/>
      <c r="BH46" s="84"/>
      <c r="BI46" s="84"/>
      <c r="BJ46" s="84"/>
      <c r="BK46" s="84"/>
      <c r="BL46" s="84"/>
      <c r="BM46" s="84"/>
    </row>
    <row r="47" spans="1:65" ht="15.75" thickBot="1">
      <c r="A47" s="2"/>
      <c r="B47" s="134"/>
      <c r="C47" s="124" t="str">
        <f t="shared" si="4"/>
        <v/>
      </c>
      <c r="D47" s="115" t="str">
        <f t="shared" si="2"/>
        <v/>
      </c>
      <c r="E47" s="110" t="str">
        <f t="shared" si="5"/>
        <v/>
      </c>
      <c r="F47" s="112" t="str">
        <f t="shared" si="3"/>
        <v/>
      </c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  <c r="AL47" s="84"/>
      <c r="AM47" s="84"/>
      <c r="AN47" s="84"/>
      <c r="AO47" s="84"/>
      <c r="AP47" s="84"/>
      <c r="AQ47" s="84"/>
      <c r="AR47" s="84"/>
      <c r="AS47" s="84"/>
      <c r="AT47" s="84"/>
      <c r="AU47" s="84"/>
      <c r="AV47" s="84"/>
      <c r="AW47" s="84"/>
      <c r="AX47" s="84"/>
      <c r="AY47" s="84"/>
      <c r="AZ47" s="84"/>
      <c r="BA47" s="84"/>
      <c r="BB47" s="84"/>
      <c r="BC47" s="84"/>
      <c r="BD47" s="84"/>
      <c r="BE47" s="84"/>
      <c r="BF47" s="84"/>
      <c r="BG47" s="84"/>
      <c r="BH47" s="84"/>
      <c r="BI47" s="84"/>
      <c r="BJ47" s="84"/>
      <c r="BK47" s="84"/>
      <c r="BL47" s="84"/>
      <c r="BM47" s="84"/>
    </row>
    <row r="48" spans="1:65" ht="15.75" thickBot="1">
      <c r="A48" s="2"/>
      <c r="B48" s="134"/>
      <c r="C48" s="124" t="str">
        <f t="shared" si="4"/>
        <v/>
      </c>
      <c r="D48" s="115" t="str">
        <f t="shared" si="2"/>
        <v/>
      </c>
      <c r="E48" s="110" t="str">
        <f t="shared" si="5"/>
        <v/>
      </c>
      <c r="F48" s="112" t="str">
        <f t="shared" si="3"/>
        <v/>
      </c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  <c r="AO48" s="84"/>
      <c r="AP48" s="84"/>
      <c r="AQ48" s="84"/>
      <c r="AR48" s="84"/>
      <c r="AS48" s="84"/>
      <c r="AT48" s="84"/>
      <c r="AU48" s="84"/>
      <c r="AV48" s="84"/>
      <c r="AW48" s="84"/>
      <c r="AX48" s="84"/>
      <c r="AY48" s="84"/>
      <c r="AZ48" s="84"/>
      <c r="BA48" s="84"/>
      <c r="BB48" s="84"/>
      <c r="BC48" s="84"/>
      <c r="BD48" s="84"/>
      <c r="BE48" s="84"/>
      <c r="BF48" s="84"/>
      <c r="BG48" s="84"/>
      <c r="BH48" s="84"/>
      <c r="BI48" s="84"/>
      <c r="BJ48" s="84"/>
      <c r="BK48" s="84"/>
      <c r="BL48" s="84"/>
      <c r="BM48" s="84"/>
    </row>
    <row r="49" spans="1:65" ht="15.75" thickBot="1">
      <c r="A49" s="2"/>
      <c r="B49" s="134"/>
      <c r="C49" s="124" t="str">
        <f t="shared" si="4"/>
        <v/>
      </c>
      <c r="D49" s="115" t="str">
        <f t="shared" si="2"/>
        <v/>
      </c>
      <c r="E49" s="110" t="str">
        <f t="shared" si="5"/>
        <v/>
      </c>
      <c r="F49" s="112" t="str">
        <f t="shared" si="3"/>
        <v/>
      </c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  <c r="AO49" s="84"/>
      <c r="AP49" s="84"/>
      <c r="AQ49" s="84"/>
      <c r="AR49" s="84"/>
      <c r="AS49" s="84"/>
      <c r="AT49" s="84"/>
      <c r="AU49" s="84"/>
      <c r="AV49" s="84"/>
      <c r="AW49" s="84"/>
      <c r="AX49" s="84"/>
      <c r="AY49" s="84"/>
      <c r="AZ49" s="84"/>
      <c r="BA49" s="84"/>
      <c r="BB49" s="84"/>
      <c r="BC49" s="84"/>
      <c r="BD49" s="84"/>
      <c r="BE49" s="84"/>
      <c r="BF49" s="84"/>
      <c r="BG49" s="84"/>
      <c r="BH49" s="84"/>
      <c r="BI49" s="84"/>
      <c r="BJ49" s="84"/>
      <c r="BK49" s="84"/>
      <c r="BL49" s="84"/>
      <c r="BM49" s="84"/>
    </row>
    <row r="50" spans="1:65" ht="15.75" thickBot="1">
      <c r="A50" s="2"/>
      <c r="B50" s="134"/>
      <c r="C50" s="124" t="str">
        <f t="shared" si="4"/>
        <v/>
      </c>
      <c r="D50" s="115" t="str">
        <f t="shared" si="2"/>
        <v/>
      </c>
      <c r="E50" s="110" t="str">
        <f t="shared" si="5"/>
        <v/>
      </c>
      <c r="F50" s="112" t="str">
        <f t="shared" si="3"/>
        <v/>
      </c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</row>
    <row r="51" spans="1:65" ht="15.75" thickBot="1">
      <c r="A51" s="2"/>
      <c r="B51" s="134"/>
      <c r="C51" s="124" t="str">
        <f t="shared" si="4"/>
        <v/>
      </c>
      <c r="D51" s="115" t="str">
        <f t="shared" si="2"/>
        <v/>
      </c>
      <c r="E51" s="110" t="str">
        <f t="shared" si="5"/>
        <v/>
      </c>
      <c r="F51" s="112" t="str">
        <f t="shared" si="3"/>
        <v/>
      </c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4"/>
      <c r="AS51" s="84"/>
      <c r="AT51" s="84"/>
      <c r="AU51" s="84"/>
      <c r="AV51" s="84"/>
      <c r="AW51" s="84"/>
      <c r="AX51" s="84"/>
      <c r="AY51" s="84"/>
      <c r="AZ51" s="84"/>
      <c r="BA51" s="84"/>
      <c r="BB51" s="84"/>
      <c r="BC51" s="84"/>
      <c r="BD51" s="84"/>
      <c r="BE51" s="84"/>
      <c r="BF51" s="84"/>
      <c r="BG51" s="84"/>
      <c r="BH51" s="84"/>
      <c r="BI51" s="84"/>
      <c r="BJ51" s="84"/>
      <c r="BK51" s="84"/>
      <c r="BL51" s="84"/>
      <c r="BM51" s="84"/>
    </row>
    <row r="52" spans="1:65" ht="15.75" thickBot="1">
      <c r="A52" s="2"/>
      <c r="B52" s="134"/>
      <c r="C52" s="124" t="str">
        <f t="shared" si="4"/>
        <v/>
      </c>
      <c r="D52" s="115" t="str">
        <f t="shared" si="2"/>
        <v/>
      </c>
      <c r="E52" s="110" t="str">
        <f t="shared" si="5"/>
        <v/>
      </c>
      <c r="F52" s="112" t="str">
        <f t="shared" si="3"/>
        <v/>
      </c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4"/>
      <c r="AS52" s="84"/>
      <c r="AT52" s="84"/>
      <c r="AU52" s="84"/>
      <c r="AV52" s="84"/>
      <c r="AW52" s="84"/>
      <c r="AX52" s="84"/>
      <c r="AY52" s="84"/>
      <c r="AZ52" s="84"/>
      <c r="BA52" s="84"/>
      <c r="BB52" s="84"/>
      <c r="BC52" s="84"/>
      <c r="BD52" s="84"/>
      <c r="BE52" s="84"/>
      <c r="BF52" s="84"/>
      <c r="BG52" s="84"/>
      <c r="BH52" s="84"/>
      <c r="BI52" s="84"/>
      <c r="BJ52" s="84"/>
      <c r="BK52" s="84"/>
      <c r="BL52" s="84"/>
      <c r="BM52" s="84"/>
    </row>
    <row r="53" spans="1:65" ht="15.75" thickBot="1">
      <c r="A53" s="2"/>
      <c r="B53" s="134"/>
      <c r="C53" s="124" t="str">
        <f t="shared" si="4"/>
        <v/>
      </c>
      <c r="D53" s="115" t="str">
        <f t="shared" si="2"/>
        <v/>
      </c>
      <c r="E53" s="110" t="str">
        <f t="shared" si="5"/>
        <v/>
      </c>
      <c r="F53" s="112" t="str">
        <f t="shared" si="3"/>
        <v/>
      </c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  <c r="AM53" s="84"/>
      <c r="AN53" s="84"/>
      <c r="AO53" s="84"/>
      <c r="AP53" s="84"/>
      <c r="AQ53" s="84"/>
      <c r="AR53" s="84"/>
      <c r="AS53" s="84"/>
      <c r="AT53" s="84"/>
      <c r="AU53" s="84"/>
      <c r="AV53" s="84"/>
      <c r="AW53" s="84"/>
      <c r="AX53" s="84"/>
      <c r="AY53" s="84"/>
      <c r="AZ53" s="84"/>
      <c r="BA53" s="84"/>
      <c r="BB53" s="84"/>
      <c r="BC53" s="84"/>
      <c r="BD53" s="84"/>
      <c r="BE53" s="84"/>
      <c r="BF53" s="84"/>
      <c r="BG53" s="84"/>
      <c r="BH53" s="84"/>
      <c r="BI53" s="84"/>
      <c r="BJ53" s="84"/>
      <c r="BK53" s="84"/>
      <c r="BL53" s="84"/>
      <c r="BM53" s="84"/>
    </row>
    <row r="54" spans="1:65" ht="15.75" thickBot="1">
      <c r="A54" s="2"/>
      <c r="B54" s="134"/>
      <c r="C54" s="124" t="str">
        <f t="shared" si="4"/>
        <v/>
      </c>
      <c r="D54" s="115" t="str">
        <f t="shared" si="2"/>
        <v/>
      </c>
      <c r="E54" s="110" t="str">
        <f t="shared" si="5"/>
        <v/>
      </c>
      <c r="F54" s="112" t="str">
        <f t="shared" si="3"/>
        <v/>
      </c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84"/>
      <c r="AN54" s="84"/>
      <c r="AO54" s="84"/>
      <c r="AP54" s="84"/>
      <c r="AQ54" s="84"/>
      <c r="AR54" s="84"/>
      <c r="AS54" s="84"/>
      <c r="AT54" s="84"/>
      <c r="AU54" s="84"/>
      <c r="AV54" s="84"/>
      <c r="AW54" s="84"/>
      <c r="AX54" s="84"/>
      <c r="AY54" s="84"/>
      <c r="AZ54" s="84"/>
      <c r="BA54" s="84"/>
      <c r="BB54" s="84"/>
      <c r="BC54" s="84"/>
      <c r="BD54" s="84"/>
      <c r="BE54" s="84"/>
      <c r="BF54" s="84"/>
      <c r="BG54" s="84"/>
      <c r="BH54" s="84"/>
      <c r="BI54" s="84"/>
      <c r="BJ54" s="84"/>
      <c r="BK54" s="84"/>
      <c r="BL54" s="84"/>
      <c r="BM54" s="84"/>
    </row>
    <row r="55" spans="1:65" ht="15.75" thickBot="1">
      <c r="A55" s="2"/>
      <c r="B55" s="134"/>
      <c r="C55" s="124" t="str">
        <f t="shared" si="4"/>
        <v/>
      </c>
      <c r="D55" s="115" t="str">
        <f t="shared" si="2"/>
        <v/>
      </c>
      <c r="E55" s="110" t="str">
        <f t="shared" si="5"/>
        <v/>
      </c>
      <c r="F55" s="112" t="str">
        <f t="shared" si="3"/>
        <v/>
      </c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84"/>
      <c r="AN55" s="84"/>
      <c r="AO55" s="84"/>
      <c r="AP55" s="84"/>
      <c r="AQ55" s="84"/>
      <c r="AR55" s="84"/>
      <c r="AS55" s="84"/>
      <c r="AT55" s="84"/>
      <c r="AU55" s="84"/>
      <c r="AV55" s="84"/>
      <c r="AW55" s="84"/>
      <c r="AX55" s="84"/>
      <c r="AY55" s="84"/>
      <c r="AZ55" s="84"/>
      <c r="BA55" s="84"/>
      <c r="BB55" s="84"/>
      <c r="BC55" s="84"/>
      <c r="BD55" s="84"/>
      <c r="BE55" s="84"/>
      <c r="BF55" s="84"/>
      <c r="BG55" s="84"/>
      <c r="BH55" s="84"/>
      <c r="BI55" s="84"/>
      <c r="BJ55" s="84"/>
      <c r="BK55" s="84"/>
      <c r="BL55" s="84"/>
      <c r="BM55" s="84"/>
    </row>
    <row r="56" spans="1:65" ht="15.75" thickBot="1">
      <c r="A56" s="2"/>
      <c r="B56" s="134"/>
      <c r="C56" s="124" t="str">
        <f t="shared" si="4"/>
        <v/>
      </c>
      <c r="D56" s="115" t="str">
        <f t="shared" si="2"/>
        <v/>
      </c>
      <c r="E56" s="110" t="str">
        <f t="shared" si="5"/>
        <v/>
      </c>
      <c r="F56" s="112" t="str">
        <f t="shared" si="3"/>
        <v/>
      </c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  <c r="AN56" s="84"/>
      <c r="AO56" s="84"/>
      <c r="AP56" s="84"/>
      <c r="AQ56" s="84"/>
      <c r="AR56" s="84"/>
      <c r="AS56" s="84"/>
      <c r="AT56" s="84"/>
      <c r="AU56" s="84"/>
      <c r="AV56" s="84"/>
      <c r="AW56" s="84"/>
      <c r="AX56" s="84"/>
      <c r="AY56" s="84"/>
      <c r="AZ56" s="84"/>
      <c r="BA56" s="84"/>
      <c r="BB56" s="84"/>
      <c r="BC56" s="84"/>
      <c r="BD56" s="84"/>
      <c r="BE56" s="84"/>
      <c r="BF56" s="84"/>
      <c r="BG56" s="84"/>
      <c r="BH56" s="84"/>
      <c r="BI56" s="84"/>
      <c r="BJ56" s="84"/>
      <c r="BK56" s="84"/>
      <c r="BL56" s="84"/>
      <c r="BM56" s="84"/>
    </row>
    <row r="57" spans="1:65" ht="15.75" thickBot="1">
      <c r="A57" s="2"/>
      <c r="B57" s="134"/>
      <c r="C57" s="124" t="str">
        <f t="shared" si="4"/>
        <v/>
      </c>
      <c r="D57" s="115" t="str">
        <f t="shared" si="2"/>
        <v/>
      </c>
      <c r="E57" s="110" t="str">
        <f t="shared" si="5"/>
        <v/>
      </c>
      <c r="F57" s="112" t="str">
        <f t="shared" si="3"/>
        <v/>
      </c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84"/>
      <c r="AN57" s="84"/>
      <c r="AO57" s="84"/>
      <c r="AP57" s="84"/>
      <c r="AQ57" s="84"/>
      <c r="AR57" s="84"/>
      <c r="AS57" s="84"/>
      <c r="AT57" s="84"/>
      <c r="AU57" s="84"/>
      <c r="AV57" s="84"/>
      <c r="AW57" s="84"/>
      <c r="AX57" s="84"/>
      <c r="AY57" s="84"/>
      <c r="AZ57" s="84"/>
      <c r="BA57" s="84"/>
      <c r="BB57" s="84"/>
      <c r="BC57" s="84"/>
      <c r="BD57" s="84"/>
      <c r="BE57" s="84"/>
      <c r="BF57" s="84"/>
      <c r="BG57" s="84"/>
      <c r="BH57" s="84"/>
      <c r="BI57" s="84"/>
      <c r="BJ57" s="84"/>
      <c r="BK57" s="84"/>
      <c r="BL57" s="84"/>
      <c r="BM57" s="84"/>
    </row>
    <row r="58" spans="1:65" ht="15.75" thickBot="1">
      <c r="A58" s="2"/>
      <c r="B58" s="134"/>
      <c r="C58" s="124" t="str">
        <f t="shared" si="4"/>
        <v/>
      </c>
      <c r="D58" s="115" t="str">
        <f t="shared" si="2"/>
        <v/>
      </c>
      <c r="E58" s="110" t="str">
        <f t="shared" si="5"/>
        <v/>
      </c>
      <c r="F58" s="112" t="str">
        <f t="shared" si="3"/>
        <v/>
      </c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  <c r="AN58" s="84"/>
      <c r="AO58" s="84"/>
      <c r="AP58" s="84"/>
      <c r="AQ58" s="84"/>
      <c r="AR58" s="84"/>
      <c r="AS58" s="84"/>
      <c r="AT58" s="84"/>
      <c r="AU58" s="84"/>
      <c r="AV58" s="84"/>
      <c r="AW58" s="84"/>
      <c r="AX58" s="84"/>
      <c r="AY58" s="84"/>
      <c r="AZ58" s="84"/>
      <c r="BA58" s="84"/>
      <c r="BB58" s="84"/>
      <c r="BC58" s="84"/>
      <c r="BD58" s="84"/>
      <c r="BE58" s="84"/>
      <c r="BF58" s="84"/>
      <c r="BG58" s="84"/>
      <c r="BH58" s="84"/>
      <c r="BI58" s="84"/>
      <c r="BJ58" s="84"/>
      <c r="BK58" s="84"/>
      <c r="BL58" s="84"/>
      <c r="BM58" s="84"/>
    </row>
    <row r="59" spans="1:65" ht="15.75" thickBot="1">
      <c r="A59" s="2"/>
      <c r="B59" s="134"/>
      <c r="C59" s="124" t="str">
        <f t="shared" si="4"/>
        <v/>
      </c>
      <c r="D59" s="115" t="str">
        <f t="shared" si="2"/>
        <v/>
      </c>
      <c r="E59" s="110" t="str">
        <f t="shared" si="5"/>
        <v/>
      </c>
      <c r="F59" s="112" t="str">
        <f t="shared" si="3"/>
        <v/>
      </c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  <c r="BH59" s="84"/>
      <c r="BI59" s="84"/>
      <c r="BJ59" s="84"/>
      <c r="BK59" s="84"/>
      <c r="BL59" s="84"/>
      <c r="BM59" s="84"/>
    </row>
    <row r="60" spans="1:65" ht="15.75" thickBot="1">
      <c r="A60" s="2"/>
      <c r="B60" s="134"/>
      <c r="C60" s="124" t="str">
        <f t="shared" si="4"/>
        <v/>
      </c>
      <c r="D60" s="115" t="str">
        <f t="shared" si="2"/>
        <v/>
      </c>
      <c r="E60" s="110" t="str">
        <f t="shared" si="5"/>
        <v/>
      </c>
      <c r="F60" s="112" t="str">
        <f t="shared" si="3"/>
        <v/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  <c r="AO60" s="84"/>
      <c r="AP60" s="84"/>
      <c r="AQ60" s="84"/>
      <c r="AR60" s="84"/>
      <c r="AS60" s="84"/>
      <c r="AT60" s="84"/>
      <c r="AU60" s="84"/>
      <c r="AV60" s="84"/>
      <c r="AW60" s="84"/>
      <c r="AX60" s="84"/>
      <c r="AY60" s="84"/>
      <c r="AZ60" s="84"/>
      <c r="BA60" s="84"/>
      <c r="BB60" s="84"/>
      <c r="BC60" s="84"/>
      <c r="BD60" s="84"/>
      <c r="BE60" s="84"/>
      <c r="BF60" s="84"/>
      <c r="BG60" s="84"/>
      <c r="BH60" s="84"/>
      <c r="BI60" s="84"/>
      <c r="BJ60" s="84"/>
      <c r="BK60" s="84"/>
      <c r="BL60" s="84"/>
      <c r="BM60" s="84"/>
    </row>
    <row r="61" spans="1:65" ht="15.75" thickBot="1">
      <c r="A61" s="2"/>
      <c r="B61" s="134"/>
      <c r="C61" s="124" t="str">
        <f t="shared" si="4"/>
        <v/>
      </c>
      <c r="D61" s="115" t="str">
        <f t="shared" si="2"/>
        <v/>
      </c>
      <c r="E61" s="110" t="str">
        <f t="shared" si="5"/>
        <v/>
      </c>
      <c r="F61" s="112" t="str">
        <f t="shared" si="3"/>
        <v/>
      </c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  <c r="AO61" s="84"/>
      <c r="AP61" s="84"/>
      <c r="AQ61" s="84"/>
      <c r="AR61" s="84"/>
      <c r="AS61" s="84"/>
      <c r="AT61" s="84"/>
      <c r="AU61" s="84"/>
      <c r="AV61" s="84"/>
      <c r="AW61" s="84"/>
      <c r="AX61" s="84"/>
      <c r="AY61" s="84"/>
      <c r="AZ61" s="84"/>
      <c r="BA61" s="84"/>
      <c r="BB61" s="84"/>
      <c r="BC61" s="84"/>
      <c r="BD61" s="84"/>
      <c r="BE61" s="84"/>
      <c r="BF61" s="84"/>
      <c r="BG61" s="84"/>
      <c r="BH61" s="84"/>
      <c r="BI61" s="84"/>
      <c r="BJ61" s="84"/>
      <c r="BK61" s="84"/>
      <c r="BL61" s="84"/>
      <c r="BM61" s="84"/>
    </row>
    <row r="62" spans="1:65" ht="15.75" thickBot="1">
      <c r="A62" s="2"/>
      <c r="B62" s="134"/>
      <c r="C62" s="124" t="str">
        <f t="shared" si="4"/>
        <v/>
      </c>
      <c r="D62" s="115" t="str">
        <f t="shared" si="2"/>
        <v/>
      </c>
      <c r="E62" s="110" t="str">
        <f t="shared" si="5"/>
        <v/>
      </c>
      <c r="F62" s="112" t="str">
        <f t="shared" si="3"/>
        <v/>
      </c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  <c r="AO62" s="84"/>
      <c r="AP62" s="84"/>
      <c r="AQ62" s="84"/>
      <c r="AR62" s="84"/>
      <c r="AS62" s="84"/>
      <c r="AT62" s="84"/>
      <c r="AU62" s="84"/>
      <c r="AV62" s="84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  <c r="BH62" s="84"/>
      <c r="BI62" s="84"/>
      <c r="BJ62" s="84"/>
      <c r="BK62" s="84"/>
      <c r="BL62" s="84"/>
      <c r="BM62" s="84"/>
    </row>
    <row r="63" spans="1:65" ht="15.75" thickBot="1">
      <c r="A63" s="2"/>
      <c r="B63" s="134"/>
      <c r="C63" s="124" t="str">
        <f t="shared" si="4"/>
        <v/>
      </c>
      <c r="D63" s="115" t="str">
        <f t="shared" si="2"/>
        <v/>
      </c>
      <c r="E63" s="110" t="str">
        <f t="shared" si="5"/>
        <v/>
      </c>
      <c r="F63" s="112" t="str">
        <f t="shared" si="3"/>
        <v/>
      </c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84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  <c r="BH63" s="84"/>
      <c r="BI63" s="84"/>
      <c r="BJ63" s="84"/>
      <c r="BK63" s="84"/>
      <c r="BL63" s="84"/>
      <c r="BM63" s="84"/>
    </row>
    <row r="64" spans="1:65" ht="15.75" thickBot="1">
      <c r="A64" s="2"/>
      <c r="B64" s="134"/>
      <c r="C64" s="124" t="str">
        <f t="shared" si="4"/>
        <v/>
      </c>
      <c r="D64" s="115" t="str">
        <f t="shared" si="2"/>
        <v/>
      </c>
      <c r="E64" s="110" t="str">
        <f t="shared" si="5"/>
        <v/>
      </c>
      <c r="F64" s="112" t="str">
        <f t="shared" si="3"/>
        <v/>
      </c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  <c r="BH64" s="84"/>
      <c r="BI64" s="84"/>
      <c r="BJ64" s="84"/>
      <c r="BK64" s="84"/>
      <c r="BL64" s="84"/>
      <c r="BM64" s="84"/>
    </row>
    <row r="65" spans="1:65" ht="15.75" thickBot="1">
      <c r="A65" s="2"/>
      <c r="B65" s="134"/>
      <c r="C65" s="124" t="str">
        <f t="shared" si="4"/>
        <v/>
      </c>
      <c r="D65" s="115" t="str">
        <f t="shared" si="2"/>
        <v/>
      </c>
      <c r="E65" s="110" t="str">
        <f t="shared" si="5"/>
        <v/>
      </c>
      <c r="F65" s="112" t="str">
        <f t="shared" si="3"/>
        <v/>
      </c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  <c r="AN65" s="84"/>
      <c r="AO65" s="84"/>
      <c r="AP65" s="84"/>
      <c r="AQ65" s="84"/>
      <c r="AR65" s="84"/>
      <c r="AS65" s="84"/>
      <c r="AT65" s="84"/>
      <c r="AU65" s="84"/>
      <c r="AV65" s="84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  <c r="BH65" s="84"/>
      <c r="BI65" s="84"/>
      <c r="BJ65" s="84"/>
      <c r="BK65" s="84"/>
      <c r="BL65" s="84"/>
      <c r="BM65" s="84"/>
    </row>
    <row r="66" spans="1:65" ht="15.75" thickBot="1">
      <c r="A66" s="2"/>
      <c r="B66" s="134"/>
      <c r="C66" s="124" t="str">
        <f t="shared" si="4"/>
        <v/>
      </c>
      <c r="D66" s="115" t="str">
        <f t="shared" si="2"/>
        <v/>
      </c>
      <c r="E66" s="110" t="str">
        <f t="shared" si="5"/>
        <v/>
      </c>
      <c r="F66" s="112" t="str">
        <f t="shared" si="3"/>
        <v/>
      </c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  <c r="AL66" s="84"/>
      <c r="AM66" s="84"/>
      <c r="AN66" s="84"/>
      <c r="AO66" s="84"/>
      <c r="AP66" s="84"/>
      <c r="AQ66" s="84"/>
      <c r="AR66" s="84"/>
      <c r="AS66" s="84"/>
      <c r="AT66" s="84"/>
      <c r="AU66" s="84"/>
      <c r="AV66" s="84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  <c r="BH66" s="84"/>
      <c r="BI66" s="84"/>
      <c r="BJ66" s="84"/>
      <c r="BK66" s="84"/>
      <c r="BL66" s="84"/>
      <c r="BM66" s="84"/>
    </row>
    <row r="67" spans="1:65" ht="15.75" thickBot="1">
      <c r="A67" s="2"/>
      <c r="B67" s="134"/>
      <c r="C67" s="124" t="str">
        <f t="shared" si="4"/>
        <v/>
      </c>
      <c r="D67" s="115" t="str">
        <f t="shared" si="2"/>
        <v/>
      </c>
      <c r="E67" s="110" t="str">
        <f t="shared" si="5"/>
        <v/>
      </c>
      <c r="F67" s="112" t="str">
        <f t="shared" si="3"/>
        <v/>
      </c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  <c r="AN67" s="84"/>
      <c r="AO67" s="84"/>
      <c r="AP67" s="84"/>
      <c r="AQ67" s="84"/>
      <c r="AR67" s="84"/>
      <c r="AS67" s="84"/>
      <c r="AT67" s="84"/>
      <c r="AU67" s="84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</row>
    <row r="68" spans="1:65" ht="15.75" thickBot="1">
      <c r="A68" s="2"/>
      <c r="B68" s="134"/>
      <c r="C68" s="124" t="str">
        <f t="shared" si="4"/>
        <v/>
      </c>
      <c r="D68" s="115" t="str">
        <f t="shared" si="2"/>
        <v/>
      </c>
      <c r="E68" s="110" t="str">
        <f t="shared" si="5"/>
        <v/>
      </c>
      <c r="F68" s="112" t="str">
        <f t="shared" si="3"/>
        <v/>
      </c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  <c r="AN68" s="84"/>
      <c r="AO68" s="84"/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  <c r="BH68" s="84"/>
      <c r="BI68" s="84"/>
      <c r="BJ68" s="84"/>
      <c r="BK68" s="84"/>
      <c r="BL68" s="84"/>
      <c r="BM68" s="84"/>
    </row>
    <row r="69" spans="1:65" ht="15.75" thickBot="1">
      <c r="A69" s="2"/>
      <c r="B69" s="134"/>
      <c r="C69" s="124" t="str">
        <f t="shared" si="4"/>
        <v/>
      </c>
      <c r="D69" s="115" t="str">
        <f t="shared" si="2"/>
        <v/>
      </c>
      <c r="E69" s="110" t="str">
        <f t="shared" si="5"/>
        <v/>
      </c>
      <c r="F69" s="112" t="str">
        <f t="shared" si="3"/>
        <v/>
      </c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  <c r="AN69" s="84"/>
      <c r="AO69" s="84"/>
      <c r="AP69" s="84"/>
      <c r="AQ69" s="84"/>
      <c r="AR69" s="84"/>
      <c r="AS69" s="84"/>
      <c r="AT69" s="84"/>
      <c r="AU69" s="84"/>
      <c r="AV69" s="84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  <c r="BH69" s="84"/>
      <c r="BI69" s="84"/>
      <c r="BJ69" s="84"/>
      <c r="BK69" s="84"/>
      <c r="BL69" s="84"/>
      <c r="BM69" s="84"/>
    </row>
    <row r="70" spans="1:65" ht="15.75" thickBot="1">
      <c r="A70" s="2"/>
      <c r="B70" s="134"/>
      <c r="C70" s="124" t="str">
        <f t="shared" si="4"/>
        <v/>
      </c>
      <c r="D70" s="115" t="str">
        <f t="shared" si="2"/>
        <v/>
      </c>
      <c r="E70" s="110" t="str">
        <f t="shared" si="5"/>
        <v/>
      </c>
      <c r="F70" s="112" t="str">
        <f t="shared" si="3"/>
        <v/>
      </c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84"/>
    </row>
    <row r="71" spans="1:65" ht="15.75" thickBot="1">
      <c r="A71" s="2"/>
      <c r="B71" s="134"/>
      <c r="C71" s="124" t="str">
        <f t="shared" si="4"/>
        <v/>
      </c>
      <c r="D71" s="115" t="str">
        <f t="shared" si="2"/>
        <v/>
      </c>
      <c r="E71" s="110" t="str">
        <f t="shared" si="5"/>
        <v/>
      </c>
      <c r="F71" s="112" t="str">
        <f t="shared" si="3"/>
        <v/>
      </c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4"/>
      <c r="AL71" s="84"/>
      <c r="AM71" s="84"/>
      <c r="AN71" s="84"/>
      <c r="AO71" s="84"/>
      <c r="AP71" s="84"/>
      <c r="AQ71" s="84"/>
      <c r="AR71" s="84"/>
      <c r="AS71" s="84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</row>
    <row r="72" spans="1:65" ht="15.75" thickBot="1">
      <c r="A72" s="2"/>
      <c r="B72" s="134"/>
      <c r="C72" s="124" t="str">
        <f t="shared" ref="C72:C103" si="6">IF(B72="","",AVERAGE($B$8:$B$116))</f>
        <v/>
      </c>
      <c r="D72" s="115" t="str">
        <f t="shared" si="2"/>
        <v/>
      </c>
      <c r="E72" s="110" t="str">
        <f t="shared" ref="E72:E103" si="7">IF(F72&lt;0,0,F72)</f>
        <v/>
      </c>
      <c r="F72" s="112" t="str">
        <f t="shared" si="3"/>
        <v/>
      </c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  <c r="AO72" s="84"/>
      <c r="AP72" s="84"/>
      <c r="AQ72" s="84"/>
      <c r="AR72" s="84"/>
      <c r="AS72" s="84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</row>
    <row r="73" spans="1:65" ht="15.75" thickBot="1">
      <c r="A73" s="2"/>
      <c r="B73" s="134"/>
      <c r="C73" s="124" t="str">
        <f t="shared" si="6"/>
        <v/>
      </c>
      <c r="D73" s="115" t="str">
        <f t="shared" ref="D73:D115" si="8">IF(B73="","",C73+3*SQRT(C73))</f>
        <v/>
      </c>
      <c r="E73" s="110" t="str">
        <f t="shared" si="7"/>
        <v/>
      </c>
      <c r="F73" s="112" t="str">
        <f t="shared" ref="F73:F115" si="9">IF(B73="","",C73-3*SQRT(C73))</f>
        <v/>
      </c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  <c r="AN73" s="84"/>
      <c r="AO73" s="84"/>
      <c r="AP73" s="84"/>
      <c r="AQ73" s="84"/>
      <c r="AR73" s="84"/>
      <c r="AS73" s="84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</row>
    <row r="74" spans="1:65" ht="15.75" thickBot="1">
      <c r="A74" s="2"/>
      <c r="B74" s="134"/>
      <c r="C74" s="124" t="str">
        <f t="shared" si="6"/>
        <v/>
      </c>
      <c r="D74" s="115" t="str">
        <f t="shared" si="8"/>
        <v/>
      </c>
      <c r="E74" s="110" t="str">
        <f t="shared" si="7"/>
        <v/>
      </c>
      <c r="F74" s="112" t="str">
        <f t="shared" si="9"/>
        <v/>
      </c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  <c r="AN74" s="84"/>
      <c r="AO74" s="84"/>
      <c r="AP74" s="84"/>
      <c r="AQ74" s="84"/>
      <c r="AR74" s="84"/>
      <c r="AS74" s="84"/>
      <c r="AT74" s="84"/>
      <c r="AU74" s="84"/>
      <c r="AV74" s="84"/>
      <c r="AW74" s="84"/>
      <c r="AX74" s="84"/>
      <c r="AY74" s="84"/>
      <c r="AZ74" s="84"/>
      <c r="BA74" s="84"/>
      <c r="BB74" s="84"/>
      <c r="BC74" s="84"/>
      <c r="BD74" s="84"/>
      <c r="BE74" s="84"/>
      <c r="BF74" s="84"/>
      <c r="BG74" s="84"/>
      <c r="BH74" s="84"/>
      <c r="BI74" s="84"/>
      <c r="BJ74" s="84"/>
      <c r="BK74" s="84"/>
      <c r="BL74" s="84"/>
      <c r="BM74" s="84"/>
    </row>
    <row r="75" spans="1:65" ht="15.75" thickBot="1">
      <c r="A75" s="2"/>
      <c r="B75" s="134"/>
      <c r="C75" s="124" t="str">
        <f t="shared" si="6"/>
        <v/>
      </c>
      <c r="D75" s="115" t="str">
        <f t="shared" si="8"/>
        <v/>
      </c>
      <c r="E75" s="110" t="str">
        <f t="shared" si="7"/>
        <v/>
      </c>
      <c r="F75" s="112" t="str">
        <f t="shared" si="9"/>
        <v/>
      </c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  <c r="AL75" s="84"/>
      <c r="AM75" s="84"/>
      <c r="AN75" s="84"/>
      <c r="AO75" s="84"/>
      <c r="AP75" s="84"/>
      <c r="AQ75" s="84"/>
      <c r="AR75" s="84"/>
      <c r="AS75" s="84"/>
      <c r="AT75" s="84"/>
      <c r="AU75" s="84"/>
      <c r="AV75" s="84"/>
      <c r="AW75" s="84"/>
      <c r="AX75" s="84"/>
      <c r="AY75" s="84"/>
      <c r="AZ75" s="84"/>
      <c r="BA75" s="84"/>
      <c r="BB75" s="84"/>
      <c r="BC75" s="84"/>
      <c r="BD75" s="84"/>
      <c r="BE75" s="84"/>
      <c r="BF75" s="84"/>
      <c r="BG75" s="84"/>
      <c r="BH75" s="84"/>
      <c r="BI75" s="84"/>
      <c r="BJ75" s="84"/>
      <c r="BK75" s="84"/>
      <c r="BL75" s="84"/>
      <c r="BM75" s="84"/>
    </row>
    <row r="76" spans="1:65" ht="15.75" thickBot="1">
      <c r="A76" s="2"/>
      <c r="B76" s="134"/>
      <c r="C76" s="124" t="str">
        <f t="shared" si="6"/>
        <v/>
      </c>
      <c r="D76" s="115" t="str">
        <f t="shared" si="8"/>
        <v/>
      </c>
      <c r="E76" s="110" t="str">
        <f t="shared" si="7"/>
        <v/>
      </c>
      <c r="F76" s="112" t="str">
        <f t="shared" si="9"/>
        <v/>
      </c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  <c r="AN76" s="84"/>
      <c r="AO76" s="84"/>
      <c r="AP76" s="84"/>
      <c r="AQ76" s="84"/>
      <c r="AR76" s="84"/>
      <c r="AS76" s="84"/>
      <c r="AT76" s="84"/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BJ76" s="84"/>
      <c r="BK76" s="84"/>
      <c r="BL76" s="84"/>
      <c r="BM76" s="84"/>
    </row>
    <row r="77" spans="1:65" ht="15.75" thickBot="1">
      <c r="A77" s="2"/>
      <c r="B77" s="134"/>
      <c r="C77" s="124" t="str">
        <f t="shared" si="6"/>
        <v/>
      </c>
      <c r="D77" s="115" t="str">
        <f t="shared" si="8"/>
        <v/>
      </c>
      <c r="E77" s="110" t="str">
        <f t="shared" si="7"/>
        <v/>
      </c>
      <c r="F77" s="112" t="str">
        <f t="shared" si="9"/>
        <v/>
      </c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/>
      <c r="AP77" s="84"/>
      <c r="AQ77" s="84"/>
      <c r="AR77" s="84"/>
      <c r="AS77" s="84"/>
      <c r="AT77" s="84"/>
      <c r="AU77" s="84"/>
      <c r="AV77" s="84"/>
      <c r="AW77" s="84"/>
      <c r="AX77" s="84"/>
      <c r="AY77" s="84"/>
      <c r="AZ77" s="84"/>
      <c r="BA77" s="84"/>
      <c r="BB77" s="84"/>
      <c r="BC77" s="84"/>
      <c r="BD77" s="84"/>
      <c r="BE77" s="84"/>
      <c r="BF77" s="84"/>
      <c r="BG77" s="84"/>
      <c r="BH77" s="84"/>
      <c r="BI77" s="84"/>
      <c r="BJ77" s="84"/>
      <c r="BK77" s="84"/>
      <c r="BL77" s="84"/>
      <c r="BM77" s="84"/>
    </row>
    <row r="78" spans="1:65" ht="15.75" thickBot="1">
      <c r="A78" s="2"/>
      <c r="B78" s="134"/>
      <c r="C78" s="124" t="str">
        <f t="shared" si="6"/>
        <v/>
      </c>
      <c r="D78" s="115" t="str">
        <f t="shared" si="8"/>
        <v/>
      </c>
      <c r="E78" s="110" t="str">
        <f t="shared" si="7"/>
        <v/>
      </c>
      <c r="F78" s="112" t="str">
        <f t="shared" si="9"/>
        <v/>
      </c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4"/>
      <c r="AL78" s="84"/>
      <c r="AM78" s="84"/>
      <c r="AN78" s="84"/>
      <c r="AO78" s="84"/>
      <c r="AP78" s="84"/>
      <c r="AQ78" s="84"/>
      <c r="AR78" s="84"/>
      <c r="AS78" s="84"/>
      <c r="AT78" s="84"/>
      <c r="AU78" s="84"/>
      <c r="AV78" s="84"/>
      <c r="AW78" s="84"/>
      <c r="AX78" s="84"/>
      <c r="AY78" s="84"/>
      <c r="AZ78" s="84"/>
      <c r="BA78" s="84"/>
      <c r="BB78" s="84"/>
      <c r="BC78" s="84"/>
      <c r="BD78" s="84"/>
      <c r="BE78" s="84"/>
      <c r="BF78" s="84"/>
      <c r="BG78" s="84"/>
      <c r="BH78" s="84"/>
      <c r="BI78" s="84"/>
      <c r="BJ78" s="84"/>
      <c r="BK78" s="84"/>
      <c r="BL78" s="84"/>
      <c r="BM78" s="84"/>
    </row>
    <row r="79" spans="1:65" ht="15.75" thickBot="1">
      <c r="A79" s="2"/>
      <c r="B79" s="134"/>
      <c r="C79" s="124" t="str">
        <f t="shared" si="6"/>
        <v/>
      </c>
      <c r="D79" s="115" t="str">
        <f t="shared" si="8"/>
        <v/>
      </c>
      <c r="E79" s="110" t="str">
        <f t="shared" si="7"/>
        <v/>
      </c>
      <c r="F79" s="112" t="str">
        <f t="shared" si="9"/>
        <v/>
      </c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  <c r="AO79" s="84"/>
      <c r="AP79" s="84"/>
      <c r="AQ79" s="84"/>
      <c r="AR79" s="84"/>
      <c r="AS79" s="84"/>
      <c r="AT79" s="84"/>
      <c r="AU79" s="84"/>
      <c r="AV79" s="84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  <c r="BH79" s="84"/>
      <c r="BI79" s="84"/>
      <c r="BJ79" s="84"/>
      <c r="BK79" s="84"/>
      <c r="BL79" s="84"/>
      <c r="BM79" s="84"/>
    </row>
    <row r="80" spans="1:65" ht="15.75" thickBot="1">
      <c r="A80" s="2"/>
      <c r="B80" s="134"/>
      <c r="C80" s="124" t="str">
        <f t="shared" si="6"/>
        <v/>
      </c>
      <c r="D80" s="115" t="str">
        <f t="shared" si="8"/>
        <v/>
      </c>
      <c r="E80" s="110" t="str">
        <f t="shared" si="7"/>
        <v/>
      </c>
      <c r="F80" s="112" t="str">
        <f t="shared" si="9"/>
        <v/>
      </c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  <c r="AN80" s="84"/>
      <c r="AO80" s="84"/>
      <c r="AP80" s="84"/>
      <c r="AQ80" s="84"/>
      <c r="AR80" s="84"/>
      <c r="AS80" s="84"/>
      <c r="AT80" s="84"/>
      <c r="AU80" s="84"/>
      <c r="AV80" s="84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  <c r="BH80" s="84"/>
      <c r="BI80" s="84"/>
      <c r="BJ80" s="84"/>
      <c r="BK80" s="84"/>
      <c r="BL80" s="84"/>
      <c r="BM80" s="84"/>
    </row>
    <row r="81" spans="1:65" ht="15.75" thickBot="1">
      <c r="A81" s="2"/>
      <c r="B81" s="134"/>
      <c r="C81" s="124" t="str">
        <f t="shared" si="6"/>
        <v/>
      </c>
      <c r="D81" s="115" t="str">
        <f t="shared" si="8"/>
        <v/>
      </c>
      <c r="E81" s="110" t="str">
        <f t="shared" si="7"/>
        <v/>
      </c>
      <c r="F81" s="112" t="str">
        <f t="shared" si="9"/>
        <v/>
      </c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  <c r="AO81" s="84"/>
      <c r="AP81" s="84"/>
      <c r="AQ81" s="84"/>
      <c r="AR81" s="84"/>
      <c r="AS81" s="84"/>
      <c r="AT81" s="84"/>
      <c r="AU81" s="84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</row>
    <row r="82" spans="1:65" ht="15.75" thickBot="1">
      <c r="A82" s="2"/>
      <c r="B82" s="134"/>
      <c r="C82" s="124" t="str">
        <f t="shared" si="6"/>
        <v/>
      </c>
      <c r="D82" s="115" t="str">
        <f t="shared" si="8"/>
        <v/>
      </c>
      <c r="E82" s="110" t="str">
        <f t="shared" si="7"/>
        <v/>
      </c>
      <c r="F82" s="112" t="str">
        <f t="shared" si="9"/>
        <v/>
      </c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  <c r="AO82" s="84"/>
      <c r="AP82" s="84"/>
      <c r="AQ82" s="84"/>
      <c r="AR82" s="84"/>
      <c r="AS82" s="84"/>
      <c r="AT82" s="84"/>
      <c r="AU82" s="84"/>
      <c r="AV82" s="84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</row>
    <row r="83" spans="1:65" ht="15.75" thickBot="1">
      <c r="A83" s="2"/>
      <c r="B83" s="134"/>
      <c r="C83" s="124" t="str">
        <f t="shared" si="6"/>
        <v/>
      </c>
      <c r="D83" s="115" t="str">
        <f t="shared" si="8"/>
        <v/>
      </c>
      <c r="E83" s="110" t="str">
        <f t="shared" si="7"/>
        <v/>
      </c>
      <c r="F83" s="112" t="str">
        <f t="shared" si="9"/>
        <v/>
      </c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  <c r="AC83" s="84"/>
      <c r="AD83" s="84"/>
      <c r="AE83" s="84"/>
      <c r="AF83" s="84"/>
      <c r="AG83" s="84"/>
      <c r="AH83" s="84"/>
      <c r="AI83" s="84"/>
      <c r="AJ83" s="84"/>
      <c r="AK83" s="84"/>
      <c r="AL83" s="84"/>
      <c r="AM83" s="84"/>
      <c r="AN83" s="84"/>
      <c r="AO83" s="84"/>
      <c r="AP83" s="84"/>
      <c r="AQ83" s="84"/>
      <c r="AR83" s="84"/>
      <c r="AS83" s="84"/>
      <c r="AT83" s="84"/>
      <c r="AU83" s="84"/>
      <c r="AV83" s="84"/>
      <c r="AW83" s="84"/>
      <c r="AX83" s="84"/>
      <c r="AY83" s="84"/>
      <c r="AZ83" s="84"/>
      <c r="BA83" s="84"/>
      <c r="BB83" s="84"/>
      <c r="BC83" s="84"/>
      <c r="BD83" s="84"/>
      <c r="BE83" s="84"/>
      <c r="BF83" s="84"/>
      <c r="BG83" s="84"/>
      <c r="BH83" s="84"/>
      <c r="BI83" s="84"/>
      <c r="BJ83" s="84"/>
      <c r="BK83" s="84"/>
      <c r="BL83" s="84"/>
      <c r="BM83" s="84"/>
    </row>
    <row r="84" spans="1:65" ht="15.75" thickBot="1">
      <c r="A84" s="2"/>
      <c r="B84" s="134"/>
      <c r="C84" s="124" t="str">
        <f t="shared" si="6"/>
        <v/>
      </c>
      <c r="D84" s="115" t="str">
        <f t="shared" si="8"/>
        <v/>
      </c>
      <c r="E84" s="110" t="str">
        <f t="shared" si="7"/>
        <v/>
      </c>
      <c r="F84" s="112" t="str">
        <f t="shared" si="9"/>
        <v/>
      </c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  <c r="AO84" s="84"/>
      <c r="AP84" s="84"/>
      <c r="AQ84" s="84"/>
      <c r="AR84" s="84"/>
      <c r="AS84" s="84"/>
      <c r="AT84" s="84"/>
      <c r="AU84" s="84"/>
      <c r="AV84" s="84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  <c r="BH84" s="84"/>
      <c r="BI84" s="84"/>
      <c r="BJ84" s="84"/>
      <c r="BK84" s="84"/>
      <c r="BL84" s="84"/>
      <c r="BM84" s="84"/>
    </row>
    <row r="85" spans="1:65" ht="15.75" thickBot="1">
      <c r="A85" s="2"/>
      <c r="B85" s="134"/>
      <c r="C85" s="124" t="str">
        <f t="shared" si="6"/>
        <v/>
      </c>
      <c r="D85" s="115" t="str">
        <f t="shared" si="8"/>
        <v/>
      </c>
      <c r="E85" s="110" t="str">
        <f t="shared" si="7"/>
        <v/>
      </c>
      <c r="F85" s="112" t="str">
        <f t="shared" si="9"/>
        <v/>
      </c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  <c r="AO85" s="84"/>
      <c r="AP85" s="84"/>
      <c r="AQ85" s="84"/>
      <c r="AR85" s="84"/>
      <c r="AS85" s="84"/>
      <c r="AT85" s="84"/>
      <c r="AU85" s="84"/>
      <c r="AV85" s="84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  <c r="BH85" s="84"/>
      <c r="BI85" s="84"/>
      <c r="BJ85" s="84"/>
      <c r="BK85" s="84"/>
      <c r="BL85" s="84"/>
      <c r="BM85" s="84"/>
    </row>
    <row r="86" spans="1:65" ht="15.75" thickBot="1">
      <c r="A86" s="2"/>
      <c r="B86" s="134"/>
      <c r="C86" s="124" t="str">
        <f t="shared" si="6"/>
        <v/>
      </c>
      <c r="D86" s="115" t="str">
        <f t="shared" si="8"/>
        <v/>
      </c>
      <c r="E86" s="110" t="str">
        <f t="shared" si="7"/>
        <v/>
      </c>
      <c r="F86" s="112" t="str">
        <f t="shared" si="9"/>
        <v/>
      </c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  <c r="AO86" s="84"/>
      <c r="AP86" s="84"/>
      <c r="AQ86" s="84"/>
      <c r="AR86" s="84"/>
      <c r="AS86" s="84"/>
      <c r="AT86" s="84"/>
      <c r="AU86" s="84"/>
      <c r="AV86" s="84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  <c r="BH86" s="84"/>
      <c r="BI86" s="84"/>
      <c r="BJ86" s="84"/>
      <c r="BK86" s="84"/>
      <c r="BL86" s="84"/>
      <c r="BM86" s="84"/>
    </row>
    <row r="87" spans="1:65" ht="15.75" thickBot="1">
      <c r="A87" s="2"/>
      <c r="B87" s="134"/>
      <c r="C87" s="124" t="str">
        <f t="shared" si="6"/>
        <v/>
      </c>
      <c r="D87" s="115" t="str">
        <f t="shared" si="8"/>
        <v/>
      </c>
      <c r="E87" s="110" t="str">
        <f t="shared" si="7"/>
        <v/>
      </c>
      <c r="F87" s="112" t="str">
        <f t="shared" si="9"/>
        <v/>
      </c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  <c r="AO87" s="84"/>
      <c r="AP87" s="84"/>
      <c r="AQ87" s="84"/>
      <c r="AR87" s="84"/>
      <c r="AS87" s="84"/>
      <c r="AT87" s="84"/>
      <c r="AU87" s="84"/>
      <c r="AV87" s="84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  <c r="BH87" s="84"/>
      <c r="BI87" s="84"/>
      <c r="BJ87" s="84"/>
      <c r="BK87" s="84"/>
      <c r="BL87" s="84"/>
      <c r="BM87" s="84"/>
    </row>
    <row r="88" spans="1:65" ht="15.75" thickBot="1">
      <c r="A88" s="2"/>
      <c r="B88" s="134"/>
      <c r="C88" s="124" t="str">
        <f t="shared" si="6"/>
        <v/>
      </c>
      <c r="D88" s="115" t="str">
        <f t="shared" si="8"/>
        <v/>
      </c>
      <c r="E88" s="110" t="str">
        <f t="shared" si="7"/>
        <v/>
      </c>
      <c r="F88" s="112" t="str">
        <f t="shared" si="9"/>
        <v/>
      </c>
      <c r="G88" s="84"/>
      <c r="H88" s="84"/>
      <c r="I88" s="84"/>
      <c r="J88" s="84"/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  <c r="AC88" s="84"/>
      <c r="AD88" s="84"/>
      <c r="AE88" s="84"/>
      <c r="AF88" s="84"/>
      <c r="AG88" s="84"/>
      <c r="AH88" s="84"/>
      <c r="AI88" s="84"/>
      <c r="AJ88" s="84"/>
      <c r="AK88" s="84"/>
      <c r="AL88" s="84"/>
      <c r="AM88" s="84"/>
      <c r="AN88" s="84"/>
      <c r="AO88" s="84"/>
      <c r="AP88" s="84"/>
      <c r="AQ88" s="84"/>
      <c r="AR88" s="84"/>
      <c r="AS88" s="84"/>
      <c r="AT88" s="84"/>
      <c r="AU88" s="84"/>
      <c r="AV88" s="84"/>
      <c r="AW88" s="84"/>
      <c r="AX88" s="84"/>
      <c r="AY88" s="84"/>
      <c r="AZ88" s="84"/>
      <c r="BA88" s="84"/>
      <c r="BB88" s="84"/>
      <c r="BC88" s="84"/>
      <c r="BD88" s="84"/>
      <c r="BE88" s="84"/>
      <c r="BF88" s="84"/>
      <c r="BG88" s="84"/>
      <c r="BH88" s="84"/>
      <c r="BI88" s="84"/>
      <c r="BJ88" s="84"/>
      <c r="BK88" s="84"/>
      <c r="BL88" s="84"/>
      <c r="BM88" s="84"/>
    </row>
    <row r="89" spans="1:65" ht="15.75" thickBot="1">
      <c r="A89" s="2"/>
      <c r="B89" s="134"/>
      <c r="C89" s="124" t="str">
        <f t="shared" si="6"/>
        <v/>
      </c>
      <c r="D89" s="115" t="str">
        <f t="shared" si="8"/>
        <v/>
      </c>
      <c r="E89" s="110" t="str">
        <f t="shared" si="7"/>
        <v/>
      </c>
      <c r="F89" s="112" t="str">
        <f t="shared" si="9"/>
        <v/>
      </c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  <c r="AO89" s="84"/>
      <c r="AP89" s="84"/>
      <c r="AQ89" s="84"/>
      <c r="AR89" s="84"/>
      <c r="AS89" s="84"/>
      <c r="AT89" s="84"/>
      <c r="AU89" s="84"/>
      <c r="AV89" s="84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  <c r="BH89" s="84"/>
      <c r="BI89" s="84"/>
      <c r="BJ89" s="84"/>
      <c r="BK89" s="84"/>
      <c r="BL89" s="84"/>
      <c r="BM89" s="84"/>
    </row>
    <row r="90" spans="1:65" ht="15.75" thickBot="1">
      <c r="A90" s="2"/>
      <c r="B90" s="134"/>
      <c r="C90" s="124" t="str">
        <f t="shared" si="6"/>
        <v/>
      </c>
      <c r="D90" s="115" t="str">
        <f t="shared" si="8"/>
        <v/>
      </c>
      <c r="E90" s="110" t="str">
        <f t="shared" si="7"/>
        <v/>
      </c>
      <c r="F90" s="112" t="str">
        <f t="shared" si="9"/>
        <v/>
      </c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  <c r="AO90" s="84"/>
      <c r="AP90" s="84"/>
      <c r="AQ90" s="84"/>
      <c r="AR90" s="84"/>
      <c r="AS90" s="84"/>
      <c r="AT90" s="84"/>
      <c r="AU90" s="84"/>
      <c r="AV90" s="84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  <c r="BH90" s="84"/>
      <c r="BI90" s="84"/>
      <c r="BJ90" s="84"/>
      <c r="BK90" s="84"/>
      <c r="BL90" s="84"/>
      <c r="BM90" s="84"/>
    </row>
    <row r="91" spans="1:65" ht="15.75" thickBot="1">
      <c r="A91" s="2"/>
      <c r="B91" s="134"/>
      <c r="C91" s="124" t="str">
        <f t="shared" si="6"/>
        <v/>
      </c>
      <c r="D91" s="115" t="str">
        <f t="shared" si="8"/>
        <v/>
      </c>
      <c r="E91" s="110" t="str">
        <f t="shared" si="7"/>
        <v/>
      </c>
      <c r="F91" s="112" t="str">
        <f t="shared" si="9"/>
        <v/>
      </c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  <c r="AO91" s="84"/>
      <c r="AP91" s="84"/>
      <c r="AQ91" s="84"/>
      <c r="AR91" s="84"/>
      <c r="AS91" s="84"/>
      <c r="AT91" s="84"/>
      <c r="AU91" s="84"/>
      <c r="AV91" s="84"/>
      <c r="AW91" s="84"/>
      <c r="AX91" s="84"/>
      <c r="AY91" s="84"/>
      <c r="AZ91" s="84"/>
      <c r="BA91" s="84"/>
      <c r="BB91" s="84"/>
      <c r="BC91" s="84"/>
      <c r="BD91" s="84"/>
      <c r="BE91" s="84"/>
      <c r="BF91" s="84"/>
      <c r="BG91" s="84"/>
      <c r="BH91" s="84"/>
      <c r="BI91" s="84"/>
      <c r="BJ91" s="84"/>
      <c r="BK91" s="84"/>
      <c r="BL91" s="84"/>
      <c r="BM91" s="84"/>
    </row>
    <row r="92" spans="1:65" ht="15.75" thickBot="1">
      <c r="A92" s="2"/>
      <c r="B92" s="134"/>
      <c r="C92" s="124" t="str">
        <f t="shared" si="6"/>
        <v/>
      </c>
      <c r="D92" s="115" t="str">
        <f t="shared" si="8"/>
        <v/>
      </c>
      <c r="E92" s="110" t="str">
        <f t="shared" si="7"/>
        <v/>
      </c>
      <c r="F92" s="112" t="str">
        <f t="shared" si="9"/>
        <v/>
      </c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  <c r="AO92" s="84"/>
      <c r="AP92" s="84"/>
      <c r="AQ92" s="84"/>
      <c r="AR92" s="84"/>
      <c r="AS92" s="84"/>
      <c r="AT92" s="84"/>
      <c r="AU92" s="84"/>
      <c r="AV92" s="84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</row>
    <row r="93" spans="1:65" ht="15.75" thickBot="1">
      <c r="A93" s="2"/>
      <c r="B93" s="134"/>
      <c r="C93" s="124" t="str">
        <f t="shared" si="6"/>
        <v/>
      </c>
      <c r="D93" s="115" t="str">
        <f t="shared" si="8"/>
        <v/>
      </c>
      <c r="E93" s="110" t="str">
        <f t="shared" si="7"/>
        <v/>
      </c>
      <c r="F93" s="112" t="str">
        <f t="shared" si="9"/>
        <v/>
      </c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  <c r="AN93" s="84"/>
      <c r="AO93" s="84"/>
      <c r="AP93" s="84"/>
      <c r="AQ93" s="84"/>
      <c r="AR93" s="84"/>
      <c r="AS93" s="84"/>
      <c r="AT93" s="84"/>
      <c r="AU93" s="84"/>
      <c r="AV93" s="84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  <c r="BH93" s="84"/>
      <c r="BI93" s="84"/>
      <c r="BJ93" s="84"/>
      <c r="BK93" s="84"/>
      <c r="BL93" s="84"/>
      <c r="BM93" s="84"/>
    </row>
    <row r="94" spans="1:65" ht="15.75" thickBot="1">
      <c r="A94" s="2"/>
      <c r="B94" s="134"/>
      <c r="C94" s="124" t="str">
        <f t="shared" si="6"/>
        <v/>
      </c>
      <c r="D94" s="115" t="str">
        <f t="shared" si="8"/>
        <v/>
      </c>
      <c r="E94" s="110" t="str">
        <f t="shared" si="7"/>
        <v/>
      </c>
      <c r="F94" s="112" t="str">
        <f t="shared" si="9"/>
        <v/>
      </c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4"/>
      <c r="AJ94" s="84"/>
      <c r="AK94" s="84"/>
      <c r="AL94" s="84"/>
      <c r="AM94" s="84"/>
      <c r="AN94" s="84"/>
      <c r="AO94" s="84"/>
      <c r="AP94" s="84"/>
      <c r="AQ94" s="84"/>
      <c r="AR94" s="84"/>
      <c r="AS94" s="84"/>
      <c r="AT94" s="84"/>
      <c r="AU94" s="84"/>
      <c r="AV94" s="84"/>
      <c r="AW94" s="84"/>
      <c r="AX94" s="84"/>
      <c r="AY94" s="84"/>
      <c r="AZ94" s="84"/>
      <c r="BA94" s="84"/>
      <c r="BB94" s="84"/>
      <c r="BC94" s="84"/>
      <c r="BD94" s="84"/>
      <c r="BE94" s="84"/>
      <c r="BF94" s="84"/>
      <c r="BG94" s="84"/>
      <c r="BH94" s="84"/>
      <c r="BI94" s="84"/>
      <c r="BJ94" s="84"/>
      <c r="BK94" s="84"/>
      <c r="BL94" s="84"/>
      <c r="BM94" s="84"/>
    </row>
    <row r="95" spans="1:65" ht="15.75" thickBot="1">
      <c r="A95" s="2"/>
      <c r="B95" s="134"/>
      <c r="C95" s="124" t="str">
        <f t="shared" si="6"/>
        <v/>
      </c>
      <c r="D95" s="115" t="str">
        <f t="shared" si="8"/>
        <v/>
      </c>
      <c r="E95" s="110" t="str">
        <f t="shared" si="7"/>
        <v/>
      </c>
      <c r="F95" s="112" t="str">
        <f t="shared" si="9"/>
        <v/>
      </c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84"/>
      <c r="AM95" s="84"/>
      <c r="AN95" s="84"/>
      <c r="AO95" s="84"/>
      <c r="AP95" s="84"/>
      <c r="AQ95" s="84"/>
      <c r="AR95" s="84"/>
      <c r="AS95" s="84"/>
      <c r="AT95" s="84"/>
      <c r="AU95" s="84"/>
      <c r="AV95" s="84"/>
      <c r="AW95" s="84"/>
      <c r="AX95" s="84"/>
      <c r="AY95" s="84"/>
      <c r="AZ95" s="84"/>
      <c r="BA95" s="84"/>
      <c r="BB95" s="84"/>
      <c r="BC95" s="84"/>
      <c r="BD95" s="84"/>
      <c r="BE95" s="84"/>
      <c r="BF95" s="84"/>
      <c r="BG95" s="84"/>
      <c r="BH95" s="84"/>
      <c r="BI95" s="84"/>
      <c r="BJ95" s="84"/>
      <c r="BK95" s="84"/>
      <c r="BL95" s="84"/>
      <c r="BM95" s="84"/>
    </row>
    <row r="96" spans="1:65" ht="15.75" thickBot="1">
      <c r="A96" s="2"/>
      <c r="B96" s="134"/>
      <c r="C96" s="124" t="str">
        <f t="shared" si="6"/>
        <v/>
      </c>
      <c r="D96" s="115" t="str">
        <f t="shared" si="8"/>
        <v/>
      </c>
      <c r="E96" s="110" t="str">
        <f t="shared" si="7"/>
        <v/>
      </c>
      <c r="F96" s="112" t="str">
        <f t="shared" si="9"/>
        <v/>
      </c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  <c r="AO96" s="84"/>
      <c r="AP96" s="84"/>
      <c r="AQ96" s="84"/>
      <c r="AR96" s="84"/>
      <c r="AS96" s="84"/>
      <c r="AT96" s="84"/>
      <c r="AU96" s="84"/>
      <c r="AV96" s="84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  <c r="BH96" s="84"/>
      <c r="BI96" s="84"/>
      <c r="BJ96" s="84"/>
      <c r="BK96" s="84"/>
      <c r="BL96" s="84"/>
      <c r="BM96" s="84"/>
    </row>
    <row r="97" spans="1:65" ht="15.75" thickBot="1">
      <c r="A97" s="2"/>
      <c r="B97" s="134"/>
      <c r="C97" s="124" t="str">
        <f t="shared" si="6"/>
        <v/>
      </c>
      <c r="D97" s="115" t="str">
        <f t="shared" si="8"/>
        <v/>
      </c>
      <c r="E97" s="110" t="str">
        <f t="shared" si="7"/>
        <v/>
      </c>
      <c r="F97" s="112" t="str">
        <f t="shared" si="9"/>
        <v/>
      </c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  <c r="AO97" s="84"/>
      <c r="AP97" s="84"/>
      <c r="AQ97" s="84"/>
      <c r="AR97" s="84"/>
      <c r="AS97" s="84"/>
      <c r="AT97" s="84"/>
      <c r="AU97" s="84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</row>
    <row r="98" spans="1:65" ht="15.75" thickBot="1">
      <c r="A98" s="2"/>
      <c r="B98" s="134"/>
      <c r="C98" s="124" t="str">
        <f t="shared" si="6"/>
        <v/>
      </c>
      <c r="D98" s="115" t="str">
        <f t="shared" si="8"/>
        <v/>
      </c>
      <c r="E98" s="110" t="str">
        <f t="shared" si="7"/>
        <v/>
      </c>
      <c r="F98" s="112" t="str">
        <f t="shared" si="9"/>
        <v/>
      </c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  <c r="AO98" s="84"/>
      <c r="AP98" s="84"/>
      <c r="AQ98" s="84"/>
      <c r="AR98" s="84"/>
      <c r="AS98" s="84"/>
      <c r="AT98" s="84"/>
      <c r="AU98" s="84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</row>
    <row r="99" spans="1:65" ht="15.75" thickBot="1">
      <c r="A99" s="2"/>
      <c r="B99" s="134"/>
      <c r="C99" s="124" t="str">
        <f t="shared" si="6"/>
        <v/>
      </c>
      <c r="D99" s="115" t="str">
        <f t="shared" si="8"/>
        <v/>
      </c>
      <c r="E99" s="110" t="str">
        <f t="shared" si="7"/>
        <v/>
      </c>
      <c r="F99" s="112" t="str">
        <f t="shared" si="9"/>
        <v/>
      </c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  <c r="AO99" s="84"/>
      <c r="AP99" s="84"/>
      <c r="AQ99" s="84"/>
      <c r="AR99" s="84"/>
      <c r="AS99" s="84"/>
      <c r="AT99" s="84"/>
      <c r="AU99" s="84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</row>
    <row r="100" spans="1:65" ht="15.75" thickBot="1">
      <c r="A100" s="2"/>
      <c r="B100" s="134"/>
      <c r="C100" s="124" t="str">
        <f t="shared" si="6"/>
        <v/>
      </c>
      <c r="D100" s="115" t="str">
        <f t="shared" si="8"/>
        <v/>
      </c>
      <c r="E100" s="110" t="str">
        <f t="shared" si="7"/>
        <v/>
      </c>
      <c r="F100" s="112" t="str">
        <f t="shared" si="9"/>
        <v/>
      </c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4"/>
      <c r="AY100" s="84"/>
      <c r="AZ100" s="84"/>
      <c r="BA100" s="84"/>
      <c r="BB100" s="84"/>
      <c r="BC100" s="84"/>
      <c r="BD100" s="84"/>
      <c r="BE100" s="84"/>
      <c r="BF100" s="84"/>
      <c r="BG100" s="84"/>
      <c r="BH100" s="84"/>
      <c r="BI100" s="84"/>
      <c r="BJ100" s="84"/>
      <c r="BK100" s="84"/>
      <c r="BL100" s="84"/>
      <c r="BM100" s="84"/>
    </row>
    <row r="101" spans="1:65" ht="15.75" thickBot="1">
      <c r="A101" s="2"/>
      <c r="B101" s="134"/>
      <c r="C101" s="124" t="str">
        <f t="shared" si="6"/>
        <v/>
      </c>
      <c r="D101" s="115" t="str">
        <f t="shared" si="8"/>
        <v/>
      </c>
      <c r="E101" s="110" t="str">
        <f t="shared" si="7"/>
        <v/>
      </c>
      <c r="F101" s="112" t="str">
        <f t="shared" si="9"/>
        <v/>
      </c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  <c r="AO101" s="84"/>
      <c r="AP101" s="84"/>
      <c r="AQ101" s="84"/>
      <c r="AR101" s="84"/>
      <c r="AS101" s="84"/>
      <c r="AT101" s="84"/>
      <c r="AU101" s="84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</row>
    <row r="102" spans="1:65" ht="15.75" thickBot="1">
      <c r="A102" s="2"/>
      <c r="B102" s="134"/>
      <c r="C102" s="124" t="str">
        <f t="shared" si="6"/>
        <v/>
      </c>
      <c r="D102" s="115" t="str">
        <f t="shared" si="8"/>
        <v/>
      </c>
      <c r="E102" s="110" t="str">
        <f t="shared" si="7"/>
        <v/>
      </c>
      <c r="F102" s="112" t="str">
        <f t="shared" si="9"/>
        <v/>
      </c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  <c r="AO102" s="84"/>
      <c r="AP102" s="84"/>
      <c r="AQ102" s="84"/>
      <c r="AR102" s="84"/>
      <c r="AS102" s="84"/>
      <c r="AT102" s="84"/>
      <c r="AU102" s="84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</row>
    <row r="103" spans="1:65" ht="15.75" thickBot="1">
      <c r="A103" s="2"/>
      <c r="B103" s="134"/>
      <c r="C103" s="124" t="str">
        <f t="shared" si="6"/>
        <v/>
      </c>
      <c r="D103" s="115" t="str">
        <f t="shared" si="8"/>
        <v/>
      </c>
      <c r="E103" s="110" t="str">
        <f t="shared" si="7"/>
        <v/>
      </c>
      <c r="F103" s="112" t="str">
        <f t="shared" si="9"/>
        <v/>
      </c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  <c r="AL103" s="84"/>
      <c r="AM103" s="84"/>
      <c r="AN103" s="84"/>
      <c r="AO103" s="84"/>
      <c r="AP103" s="84"/>
      <c r="AQ103" s="84"/>
      <c r="AR103" s="84"/>
      <c r="AS103" s="84"/>
      <c r="AT103" s="84"/>
      <c r="AU103" s="84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</row>
    <row r="104" spans="1:65" ht="15.75" thickBot="1">
      <c r="A104" s="2"/>
      <c r="B104" s="134"/>
      <c r="C104" s="124" t="str">
        <f t="shared" ref="C104:C115" si="10">IF(B104="","",AVERAGE($B$8:$B$116))</f>
        <v/>
      </c>
      <c r="D104" s="115" t="str">
        <f t="shared" si="8"/>
        <v/>
      </c>
      <c r="E104" s="110" t="str">
        <f t="shared" ref="E104:E115" si="11">IF(F104&lt;0,0,F104)</f>
        <v/>
      </c>
      <c r="F104" s="112" t="str">
        <f t="shared" si="9"/>
        <v/>
      </c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  <c r="AO104" s="84"/>
      <c r="AP104" s="84"/>
      <c r="AQ104" s="84"/>
      <c r="AR104" s="84"/>
      <c r="AS104" s="84"/>
      <c r="AT104" s="84"/>
      <c r="AU104" s="84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</row>
    <row r="105" spans="1:65" ht="15.75" thickBot="1">
      <c r="A105" s="2"/>
      <c r="B105" s="134"/>
      <c r="C105" s="124" t="str">
        <f t="shared" si="10"/>
        <v/>
      </c>
      <c r="D105" s="115" t="str">
        <f t="shared" si="8"/>
        <v/>
      </c>
      <c r="E105" s="110" t="str">
        <f t="shared" si="11"/>
        <v/>
      </c>
      <c r="F105" s="112" t="str">
        <f t="shared" si="9"/>
        <v/>
      </c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  <c r="AO105" s="84"/>
      <c r="AP105" s="84"/>
      <c r="AQ105" s="84"/>
      <c r="AR105" s="84"/>
      <c r="AS105" s="84"/>
      <c r="AT105" s="84"/>
      <c r="AU105" s="84"/>
      <c r="AV105" s="84"/>
      <c r="AW105" s="84"/>
      <c r="AX105" s="84"/>
      <c r="AY105" s="84"/>
      <c r="AZ105" s="84"/>
      <c r="BA105" s="84"/>
      <c r="BB105" s="84"/>
      <c r="BC105" s="84"/>
      <c r="BD105" s="84"/>
      <c r="BE105" s="84"/>
      <c r="BF105" s="84"/>
      <c r="BG105" s="84"/>
      <c r="BH105" s="84"/>
      <c r="BI105" s="84"/>
      <c r="BJ105" s="84"/>
      <c r="BK105" s="84"/>
      <c r="BL105" s="84"/>
      <c r="BM105" s="84"/>
    </row>
    <row r="106" spans="1:65" ht="15.75" thickBot="1">
      <c r="A106" s="2"/>
      <c r="B106" s="134"/>
      <c r="C106" s="124" t="str">
        <f t="shared" si="10"/>
        <v/>
      </c>
      <c r="D106" s="115" t="str">
        <f t="shared" si="8"/>
        <v/>
      </c>
      <c r="E106" s="110" t="str">
        <f t="shared" si="11"/>
        <v/>
      </c>
      <c r="F106" s="112" t="str">
        <f t="shared" si="9"/>
        <v/>
      </c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  <c r="AO106" s="84"/>
      <c r="AP106" s="84"/>
      <c r="AQ106" s="84"/>
      <c r="AR106" s="84"/>
      <c r="AS106" s="84"/>
      <c r="AT106" s="84"/>
      <c r="AU106" s="84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</row>
    <row r="107" spans="1:65" ht="15.75" thickBot="1">
      <c r="A107" s="2"/>
      <c r="B107" s="134"/>
      <c r="C107" s="124" t="str">
        <f t="shared" si="10"/>
        <v/>
      </c>
      <c r="D107" s="115" t="str">
        <f t="shared" si="8"/>
        <v/>
      </c>
      <c r="E107" s="110" t="str">
        <f t="shared" si="11"/>
        <v/>
      </c>
      <c r="F107" s="112" t="str">
        <f t="shared" si="9"/>
        <v/>
      </c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  <c r="AO107" s="84"/>
      <c r="AP107" s="84"/>
      <c r="AQ107" s="84"/>
      <c r="AR107" s="84"/>
      <c r="AS107" s="84"/>
      <c r="AT107" s="84"/>
      <c r="AU107" s="84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</row>
    <row r="108" spans="1:65" ht="15.75" thickBot="1">
      <c r="A108" s="2"/>
      <c r="B108" s="134"/>
      <c r="C108" s="124" t="str">
        <f t="shared" si="10"/>
        <v/>
      </c>
      <c r="D108" s="115" t="str">
        <f t="shared" si="8"/>
        <v/>
      </c>
      <c r="E108" s="110" t="str">
        <f t="shared" si="11"/>
        <v/>
      </c>
      <c r="F108" s="112" t="str">
        <f t="shared" si="9"/>
        <v/>
      </c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  <c r="AC108" s="84"/>
      <c r="AD108" s="84"/>
      <c r="AE108" s="84"/>
      <c r="AF108" s="84"/>
      <c r="AG108" s="84"/>
      <c r="AH108" s="84"/>
      <c r="AI108" s="84"/>
      <c r="AJ108" s="84"/>
      <c r="AK108" s="84"/>
      <c r="AL108" s="84"/>
      <c r="AM108" s="84"/>
      <c r="AN108" s="84"/>
      <c r="AO108" s="84"/>
      <c r="AP108" s="84"/>
      <c r="AQ108" s="84"/>
      <c r="AR108" s="84"/>
      <c r="AS108" s="84"/>
      <c r="AT108" s="84"/>
      <c r="AU108" s="84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</row>
    <row r="109" spans="1:65" ht="15.75" thickBot="1">
      <c r="A109" s="2"/>
      <c r="B109" s="134"/>
      <c r="C109" s="124" t="str">
        <f t="shared" si="10"/>
        <v/>
      </c>
      <c r="D109" s="115" t="str">
        <f t="shared" si="8"/>
        <v/>
      </c>
      <c r="E109" s="110" t="str">
        <f t="shared" si="11"/>
        <v/>
      </c>
      <c r="F109" s="112" t="str">
        <f t="shared" si="9"/>
        <v/>
      </c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  <c r="AC109" s="84"/>
      <c r="AD109" s="84"/>
      <c r="AE109" s="84"/>
      <c r="AF109" s="84"/>
      <c r="AG109" s="84"/>
      <c r="AH109" s="84"/>
      <c r="AI109" s="84"/>
      <c r="AJ109" s="84"/>
      <c r="AK109" s="84"/>
      <c r="AL109" s="84"/>
      <c r="AM109" s="84"/>
      <c r="AN109" s="84"/>
      <c r="AO109" s="84"/>
      <c r="AP109" s="84"/>
      <c r="AQ109" s="84"/>
      <c r="AR109" s="84"/>
      <c r="AS109" s="84"/>
      <c r="AT109" s="84"/>
      <c r="AU109" s="84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</row>
    <row r="110" spans="1:65" ht="15.75" thickBot="1">
      <c r="A110" s="2"/>
      <c r="B110" s="134"/>
      <c r="C110" s="124" t="str">
        <f t="shared" si="10"/>
        <v/>
      </c>
      <c r="D110" s="115" t="str">
        <f t="shared" si="8"/>
        <v/>
      </c>
      <c r="E110" s="110" t="str">
        <f t="shared" si="11"/>
        <v/>
      </c>
      <c r="F110" s="112" t="str">
        <f t="shared" si="9"/>
        <v/>
      </c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  <c r="AL110" s="84"/>
      <c r="AM110" s="84"/>
      <c r="AN110" s="84"/>
      <c r="AO110" s="84"/>
      <c r="AP110" s="84"/>
      <c r="AQ110" s="84"/>
      <c r="AR110" s="84"/>
      <c r="AS110" s="84"/>
      <c r="AT110" s="84"/>
      <c r="AU110" s="84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</row>
    <row r="111" spans="1:65" ht="15.75" thickBot="1">
      <c r="A111" s="2"/>
      <c r="B111" s="134"/>
      <c r="C111" s="124" t="str">
        <f t="shared" si="10"/>
        <v/>
      </c>
      <c r="D111" s="115" t="str">
        <f t="shared" si="8"/>
        <v/>
      </c>
      <c r="E111" s="110" t="str">
        <f t="shared" si="11"/>
        <v/>
      </c>
      <c r="F111" s="112" t="str">
        <f t="shared" si="9"/>
        <v/>
      </c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  <c r="W111" s="84"/>
      <c r="X111" s="84"/>
      <c r="Y111" s="84"/>
      <c r="Z111" s="84"/>
      <c r="AA111" s="84"/>
      <c r="AB111" s="84"/>
      <c r="AC111" s="84"/>
      <c r="AD111" s="84"/>
      <c r="AE111" s="84"/>
      <c r="AF111" s="84"/>
      <c r="AG111" s="84"/>
      <c r="AH111" s="84"/>
      <c r="AI111" s="84"/>
      <c r="AJ111" s="84"/>
      <c r="AK111" s="84"/>
      <c r="AL111" s="84"/>
      <c r="AM111" s="84"/>
      <c r="AN111" s="84"/>
      <c r="AO111" s="84"/>
      <c r="AP111" s="84"/>
      <c r="AQ111" s="84"/>
      <c r="AR111" s="84"/>
      <c r="AS111" s="84"/>
      <c r="AT111" s="84"/>
      <c r="AU111" s="84"/>
      <c r="AV111" s="84"/>
      <c r="AW111" s="84"/>
      <c r="AX111" s="84"/>
      <c r="AY111" s="84"/>
      <c r="AZ111" s="84"/>
      <c r="BA111" s="84"/>
      <c r="BB111" s="84"/>
      <c r="BC111" s="84"/>
      <c r="BD111" s="84"/>
      <c r="BE111" s="84"/>
      <c r="BF111" s="84"/>
      <c r="BG111" s="84"/>
      <c r="BH111" s="84"/>
      <c r="BI111" s="84"/>
      <c r="BJ111" s="84"/>
      <c r="BK111" s="84"/>
      <c r="BL111" s="84"/>
      <c r="BM111" s="84"/>
    </row>
    <row r="112" spans="1:65" ht="15.75" thickBot="1">
      <c r="A112" s="2"/>
      <c r="B112" s="134"/>
      <c r="C112" s="124" t="str">
        <f t="shared" si="10"/>
        <v/>
      </c>
      <c r="D112" s="115" t="str">
        <f t="shared" si="8"/>
        <v/>
      </c>
      <c r="E112" s="110" t="str">
        <f t="shared" si="11"/>
        <v/>
      </c>
      <c r="F112" s="112" t="str">
        <f t="shared" si="9"/>
        <v/>
      </c>
      <c r="G112" s="84"/>
      <c r="H112" s="84"/>
      <c r="I112" s="84"/>
      <c r="J112" s="84"/>
      <c r="K112" s="84"/>
      <c r="L112" s="84"/>
      <c r="M112" s="84"/>
      <c r="N112" s="84"/>
      <c r="O112" s="84"/>
      <c r="P112" s="84"/>
      <c r="Q112" s="84"/>
      <c r="R112" s="84"/>
      <c r="S112" s="84"/>
      <c r="T112" s="84"/>
      <c r="U112" s="84"/>
      <c r="V112" s="84"/>
      <c r="W112" s="84"/>
      <c r="X112" s="84"/>
      <c r="Y112" s="84"/>
      <c r="Z112" s="84"/>
      <c r="AA112" s="84"/>
      <c r="AB112" s="84"/>
      <c r="AC112" s="84"/>
      <c r="AD112" s="84"/>
      <c r="AE112" s="84"/>
      <c r="AF112" s="84"/>
      <c r="AG112" s="84"/>
      <c r="AH112" s="84"/>
      <c r="AI112" s="84"/>
      <c r="AJ112" s="84"/>
      <c r="AK112" s="84"/>
      <c r="AL112" s="84"/>
      <c r="AM112" s="84"/>
      <c r="AN112" s="84"/>
      <c r="AO112" s="84"/>
      <c r="AP112" s="84"/>
      <c r="AQ112" s="84"/>
      <c r="AR112" s="84"/>
      <c r="AS112" s="84"/>
      <c r="AT112" s="84"/>
      <c r="AU112" s="84"/>
      <c r="AV112" s="84"/>
      <c r="AW112" s="84"/>
      <c r="AX112" s="84"/>
      <c r="AY112" s="84"/>
      <c r="AZ112" s="84"/>
      <c r="BA112" s="84"/>
      <c r="BB112" s="84"/>
      <c r="BC112" s="84"/>
      <c r="BD112" s="84"/>
      <c r="BE112" s="84"/>
      <c r="BF112" s="84"/>
      <c r="BG112" s="84"/>
      <c r="BH112" s="84"/>
      <c r="BI112" s="84"/>
      <c r="BJ112" s="84"/>
      <c r="BK112" s="84"/>
      <c r="BL112" s="84"/>
      <c r="BM112" s="84"/>
    </row>
    <row r="113" spans="1:65" ht="15.75" thickBot="1">
      <c r="A113" s="2"/>
      <c r="B113" s="134"/>
      <c r="C113" s="124" t="str">
        <f t="shared" si="10"/>
        <v/>
      </c>
      <c r="D113" s="115" t="str">
        <f t="shared" si="8"/>
        <v/>
      </c>
      <c r="E113" s="110" t="str">
        <f t="shared" si="11"/>
        <v/>
      </c>
      <c r="F113" s="112" t="str">
        <f t="shared" si="9"/>
        <v/>
      </c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  <c r="AL113" s="84"/>
      <c r="AM113" s="84"/>
      <c r="AN113" s="84"/>
      <c r="AO113" s="84"/>
      <c r="AP113" s="84"/>
      <c r="AQ113" s="84"/>
      <c r="AR113" s="84"/>
      <c r="AS113" s="84"/>
      <c r="AT113" s="84"/>
      <c r="AU113" s="84"/>
      <c r="AV113" s="84"/>
      <c r="AW113" s="84"/>
      <c r="AX113" s="84"/>
      <c r="AY113" s="84"/>
      <c r="AZ113" s="84"/>
      <c r="BA113" s="84"/>
      <c r="BB113" s="84"/>
      <c r="BC113" s="84"/>
      <c r="BD113" s="84"/>
      <c r="BE113" s="84"/>
      <c r="BF113" s="84"/>
      <c r="BG113" s="84"/>
      <c r="BH113" s="84"/>
      <c r="BI113" s="84"/>
      <c r="BJ113" s="84"/>
      <c r="BK113" s="84"/>
      <c r="BL113" s="84"/>
      <c r="BM113" s="84"/>
    </row>
    <row r="114" spans="1:65" ht="15.75" thickBot="1">
      <c r="A114" s="2"/>
      <c r="B114" s="134"/>
      <c r="C114" s="124" t="str">
        <f t="shared" si="10"/>
        <v/>
      </c>
      <c r="D114" s="115" t="str">
        <f t="shared" si="8"/>
        <v/>
      </c>
      <c r="E114" s="110" t="str">
        <f t="shared" si="11"/>
        <v/>
      </c>
      <c r="F114" s="112" t="str">
        <f t="shared" si="9"/>
        <v/>
      </c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  <c r="AL114" s="84"/>
      <c r="AM114" s="84"/>
      <c r="AN114" s="84"/>
      <c r="AO114" s="84"/>
      <c r="AP114" s="84"/>
      <c r="AQ114" s="84"/>
      <c r="AR114" s="84"/>
      <c r="AS114" s="84"/>
      <c r="AT114" s="84"/>
      <c r="AU114" s="84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</row>
    <row r="115" spans="1:65" ht="15.75" thickBot="1">
      <c r="A115" s="2"/>
      <c r="B115" s="134"/>
      <c r="C115" s="124" t="str">
        <f t="shared" si="10"/>
        <v/>
      </c>
      <c r="D115" s="115" t="str">
        <f t="shared" si="8"/>
        <v/>
      </c>
      <c r="E115" s="110" t="str">
        <f t="shared" si="11"/>
        <v/>
      </c>
      <c r="F115" s="112" t="str">
        <f t="shared" si="9"/>
        <v/>
      </c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  <c r="AL115" s="84"/>
      <c r="AM115" s="84"/>
      <c r="AN115" s="84"/>
      <c r="AO115" s="84"/>
      <c r="AP115" s="84"/>
      <c r="AQ115" s="84"/>
      <c r="AR115" s="84"/>
      <c r="AS115" s="84"/>
      <c r="AT115" s="84"/>
      <c r="AU115" s="84"/>
      <c r="AV115" s="84"/>
      <c r="AW115" s="84"/>
      <c r="AX115" s="84"/>
      <c r="AY115" s="84"/>
      <c r="AZ115" s="84"/>
      <c r="BA115" s="84"/>
      <c r="BB115" s="84"/>
      <c r="BC115" s="84"/>
      <c r="BD115" s="84"/>
      <c r="BE115" s="84"/>
      <c r="BF115" s="84"/>
      <c r="BG115" s="84"/>
      <c r="BH115" s="84"/>
      <c r="BI115" s="84"/>
      <c r="BJ115" s="84"/>
      <c r="BK115" s="84"/>
      <c r="BL115" s="84"/>
      <c r="BM115" s="84"/>
    </row>
    <row r="116" spans="1:65">
      <c r="A116" s="84"/>
      <c r="B116" s="84"/>
      <c r="C116" s="84"/>
      <c r="D116" s="84"/>
      <c r="E116" s="84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  <c r="AL116" s="84"/>
      <c r="AM116" s="84"/>
      <c r="AN116" s="84"/>
      <c r="AO116" s="84"/>
      <c r="AP116" s="84"/>
      <c r="AQ116" s="84"/>
      <c r="AR116" s="84"/>
      <c r="AS116" s="84"/>
      <c r="AT116" s="84"/>
      <c r="AU116" s="84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</row>
    <row r="117" spans="1:65">
      <c r="A117" s="84"/>
      <c r="B117" s="84"/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84"/>
      <c r="AD117" s="84"/>
      <c r="AE117" s="84"/>
      <c r="AF117" s="84"/>
      <c r="AG117" s="84"/>
      <c r="AH117" s="84"/>
      <c r="AI117" s="84"/>
      <c r="AJ117" s="84"/>
      <c r="AK117" s="84"/>
      <c r="AL117" s="84"/>
      <c r="AM117" s="84"/>
      <c r="AN117" s="84"/>
      <c r="AO117" s="84"/>
      <c r="AP117" s="84"/>
      <c r="AQ117" s="84"/>
      <c r="AR117" s="84"/>
      <c r="AS117" s="84"/>
      <c r="AT117" s="84"/>
      <c r="AU117" s="84"/>
      <c r="AV117" s="84"/>
      <c r="AW117" s="84"/>
      <c r="AX117" s="84"/>
      <c r="AY117" s="84"/>
      <c r="AZ117" s="84"/>
      <c r="BA117" s="84"/>
      <c r="BB117" s="84"/>
      <c r="BC117" s="84"/>
      <c r="BD117" s="84"/>
      <c r="BE117" s="84"/>
      <c r="BF117" s="84"/>
      <c r="BG117" s="84"/>
      <c r="BH117" s="84"/>
      <c r="BI117" s="84"/>
      <c r="BJ117" s="84"/>
      <c r="BK117" s="84"/>
      <c r="BL117" s="84"/>
      <c r="BM117" s="84"/>
    </row>
    <row r="118" spans="1:65">
      <c r="A118" s="84"/>
      <c r="B118" s="84"/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</row>
    <row r="119" spans="1:65">
      <c r="A119" s="84"/>
      <c r="B119" s="84"/>
      <c r="C119" s="84"/>
      <c r="D119" s="84"/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  <c r="AL119" s="84"/>
      <c r="AM119" s="84"/>
      <c r="AN119" s="84"/>
      <c r="AO119" s="84"/>
      <c r="AP119" s="84"/>
      <c r="AQ119" s="84"/>
      <c r="AR119" s="84"/>
      <c r="AS119" s="84"/>
      <c r="AT119" s="84"/>
      <c r="AU119" s="84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</row>
    <row r="120" spans="1:65">
      <c r="A120" s="84"/>
      <c r="B120" s="84"/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  <c r="AL120" s="84"/>
      <c r="AM120" s="84"/>
      <c r="AN120" s="84"/>
      <c r="AO120" s="84"/>
      <c r="AP120" s="84"/>
      <c r="AQ120" s="84"/>
      <c r="AR120" s="84"/>
      <c r="AS120" s="84"/>
      <c r="AT120" s="84"/>
      <c r="AU120" s="84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</row>
    <row r="121" spans="1:65">
      <c r="A121" s="84"/>
      <c r="B121" s="84"/>
      <c r="C121" s="84"/>
      <c r="D121" s="84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  <c r="AL121" s="84"/>
      <c r="AM121" s="84"/>
      <c r="AN121" s="84"/>
      <c r="AO121" s="84"/>
      <c r="AP121" s="84"/>
      <c r="AQ121" s="84"/>
      <c r="AR121" s="84"/>
      <c r="AS121" s="84"/>
      <c r="AT121" s="84"/>
      <c r="AU121" s="84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</row>
    <row r="122" spans="1:65">
      <c r="A122" s="84"/>
      <c r="B122" s="84"/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  <c r="W122" s="84"/>
      <c r="X122" s="84"/>
      <c r="Y122" s="84"/>
      <c r="Z122" s="84"/>
      <c r="AA122" s="84"/>
      <c r="AB122" s="84"/>
      <c r="AC122" s="84"/>
      <c r="AD122" s="84"/>
      <c r="AE122" s="84"/>
      <c r="AF122" s="84"/>
      <c r="AG122" s="84"/>
      <c r="AH122" s="84"/>
      <c r="AI122" s="84"/>
      <c r="AJ122" s="84"/>
      <c r="AK122" s="84"/>
      <c r="AL122" s="84"/>
      <c r="AM122" s="84"/>
      <c r="AN122" s="84"/>
      <c r="AO122" s="84"/>
      <c r="AP122" s="84"/>
      <c r="AQ122" s="84"/>
      <c r="AR122" s="84"/>
      <c r="AS122" s="84"/>
      <c r="AT122" s="84"/>
      <c r="AU122" s="84"/>
      <c r="AV122" s="84"/>
      <c r="AW122" s="84"/>
      <c r="AX122" s="84"/>
      <c r="AY122" s="84"/>
      <c r="AZ122" s="84"/>
      <c r="BA122" s="84"/>
      <c r="BB122" s="84"/>
      <c r="BC122" s="84"/>
      <c r="BD122" s="84"/>
      <c r="BE122" s="84"/>
      <c r="BF122" s="84"/>
      <c r="BG122" s="84"/>
      <c r="BH122" s="84"/>
      <c r="BI122" s="84"/>
      <c r="BJ122" s="84"/>
      <c r="BK122" s="84"/>
      <c r="BL122" s="84"/>
      <c r="BM122" s="84"/>
    </row>
    <row r="123" spans="1:65">
      <c r="A123" s="84"/>
      <c r="B123" s="84"/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  <c r="AH123" s="84"/>
      <c r="AI123" s="84"/>
      <c r="AJ123" s="84"/>
      <c r="AK123" s="84"/>
      <c r="AL123" s="84"/>
      <c r="AM123" s="84"/>
      <c r="AN123" s="84"/>
      <c r="AO123" s="84"/>
      <c r="AP123" s="84"/>
      <c r="AQ123" s="84"/>
      <c r="AR123" s="84"/>
      <c r="AS123" s="84"/>
      <c r="AT123" s="84"/>
      <c r="AU123" s="84"/>
      <c r="AV123" s="84"/>
      <c r="AW123" s="84"/>
      <c r="AX123" s="84"/>
      <c r="AY123" s="84"/>
      <c r="AZ123" s="84"/>
      <c r="BA123" s="84"/>
      <c r="BB123" s="84"/>
      <c r="BC123" s="84"/>
      <c r="BD123" s="84"/>
      <c r="BE123" s="84"/>
      <c r="BF123" s="84"/>
      <c r="BG123" s="84"/>
      <c r="BH123" s="84"/>
      <c r="BI123" s="84"/>
      <c r="BJ123" s="84"/>
      <c r="BK123" s="84"/>
      <c r="BL123" s="84"/>
      <c r="BM123" s="84"/>
    </row>
    <row r="124" spans="1:65">
      <c r="A124" s="84"/>
      <c r="B124" s="84"/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  <c r="AL124" s="84"/>
      <c r="AM124" s="84"/>
      <c r="AN124" s="84"/>
      <c r="AO124" s="84"/>
      <c r="AP124" s="84"/>
      <c r="AQ124" s="84"/>
      <c r="AR124" s="84"/>
      <c r="AS124" s="84"/>
      <c r="AT124" s="84"/>
      <c r="AU124" s="84"/>
      <c r="AV124" s="84"/>
      <c r="AW124" s="84"/>
      <c r="AX124" s="84"/>
      <c r="AY124" s="84"/>
      <c r="AZ124" s="84"/>
      <c r="BA124" s="84"/>
      <c r="BB124" s="84"/>
      <c r="BC124" s="84"/>
      <c r="BD124" s="84"/>
      <c r="BE124" s="84"/>
      <c r="BF124" s="84"/>
      <c r="BG124" s="84"/>
      <c r="BH124" s="84"/>
      <c r="BI124" s="84"/>
      <c r="BJ124" s="84"/>
      <c r="BK124" s="84"/>
      <c r="BL124" s="84"/>
      <c r="BM124" s="84"/>
    </row>
    <row r="125" spans="1:65">
      <c r="A125" s="84"/>
      <c r="B125" s="84"/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  <c r="AB125" s="84"/>
      <c r="AC125" s="84"/>
      <c r="AD125" s="84"/>
      <c r="AE125" s="84"/>
      <c r="AF125" s="84"/>
      <c r="AG125" s="84"/>
      <c r="AH125" s="84"/>
      <c r="AI125" s="84"/>
      <c r="AJ125" s="84"/>
      <c r="AK125" s="84"/>
      <c r="AL125" s="84"/>
      <c r="AM125" s="84"/>
      <c r="AN125" s="84"/>
      <c r="AO125" s="84"/>
      <c r="AP125" s="84"/>
      <c r="AQ125" s="84"/>
      <c r="AR125" s="84"/>
      <c r="AS125" s="84"/>
      <c r="AT125" s="84"/>
      <c r="AU125" s="84"/>
      <c r="AV125" s="84"/>
      <c r="AW125" s="84"/>
      <c r="AX125" s="84"/>
      <c r="AY125" s="84"/>
      <c r="AZ125" s="84"/>
      <c r="BA125" s="84"/>
      <c r="BB125" s="84"/>
      <c r="BC125" s="84"/>
      <c r="BD125" s="84"/>
      <c r="BE125" s="84"/>
      <c r="BF125" s="84"/>
      <c r="BG125" s="84"/>
      <c r="BH125" s="84"/>
      <c r="BI125" s="84"/>
      <c r="BJ125" s="84"/>
      <c r="BK125" s="84"/>
      <c r="BL125" s="84"/>
      <c r="BM125" s="84"/>
    </row>
    <row r="126" spans="1:65">
      <c r="A126" s="84"/>
      <c r="B126" s="84"/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  <c r="AL126" s="84"/>
      <c r="AM126" s="84"/>
      <c r="AN126" s="84"/>
      <c r="AO126" s="84"/>
      <c r="AP126" s="84"/>
      <c r="AQ126" s="84"/>
      <c r="AR126" s="84"/>
      <c r="AS126" s="84"/>
      <c r="AT126" s="84"/>
      <c r="AU126" s="84"/>
      <c r="AV126" s="84"/>
      <c r="AW126" s="84"/>
      <c r="AX126" s="84"/>
      <c r="AY126" s="84"/>
      <c r="AZ126" s="84"/>
      <c r="BA126" s="84"/>
      <c r="BB126" s="84"/>
      <c r="BC126" s="84"/>
      <c r="BD126" s="84"/>
      <c r="BE126" s="84"/>
      <c r="BF126" s="84"/>
      <c r="BG126" s="84"/>
      <c r="BH126" s="84"/>
      <c r="BI126" s="84"/>
      <c r="BJ126" s="84"/>
      <c r="BK126" s="84"/>
      <c r="BL126" s="84"/>
      <c r="BM126" s="84"/>
    </row>
    <row r="127" spans="1:65">
      <c r="A127" s="84"/>
      <c r="B127" s="84"/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  <c r="AL127" s="84"/>
      <c r="AM127" s="84"/>
      <c r="AN127" s="84"/>
      <c r="AO127" s="84"/>
      <c r="AP127" s="84"/>
      <c r="AQ127" s="84"/>
      <c r="AR127" s="84"/>
      <c r="AS127" s="84"/>
      <c r="AT127" s="84"/>
      <c r="AU127" s="84"/>
      <c r="AV127" s="84"/>
      <c r="AW127" s="84"/>
      <c r="AX127" s="84"/>
      <c r="AY127" s="84"/>
      <c r="AZ127" s="84"/>
      <c r="BA127" s="84"/>
      <c r="BB127" s="84"/>
      <c r="BC127" s="84"/>
      <c r="BD127" s="84"/>
      <c r="BE127" s="84"/>
      <c r="BF127" s="84"/>
      <c r="BG127" s="84"/>
      <c r="BH127" s="84"/>
      <c r="BI127" s="84"/>
      <c r="BJ127" s="84"/>
      <c r="BK127" s="84"/>
      <c r="BL127" s="84"/>
      <c r="BM127" s="84"/>
    </row>
    <row r="128" spans="1:65">
      <c r="A128" s="84"/>
      <c r="B128" s="84"/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  <c r="W128" s="84"/>
      <c r="X128" s="84"/>
      <c r="Y128" s="84"/>
      <c r="Z128" s="84"/>
      <c r="AA128" s="84"/>
      <c r="AB128" s="84"/>
      <c r="AC128" s="84"/>
      <c r="AD128" s="84"/>
      <c r="AE128" s="84"/>
      <c r="AF128" s="84"/>
      <c r="AG128" s="84"/>
      <c r="AH128" s="84"/>
      <c r="AI128" s="84"/>
      <c r="AJ128" s="84"/>
      <c r="AK128" s="84"/>
      <c r="AL128" s="84"/>
      <c r="AM128" s="84"/>
      <c r="AN128" s="84"/>
      <c r="AO128" s="84"/>
      <c r="AP128" s="84"/>
      <c r="AQ128" s="84"/>
      <c r="AR128" s="84"/>
      <c r="AS128" s="84"/>
      <c r="AT128" s="84"/>
      <c r="AU128" s="84"/>
      <c r="AV128" s="84"/>
      <c r="AW128" s="84"/>
      <c r="AX128" s="84"/>
      <c r="AY128" s="84"/>
      <c r="AZ128" s="84"/>
      <c r="BA128" s="84"/>
      <c r="BB128" s="84"/>
      <c r="BC128" s="84"/>
      <c r="BD128" s="84"/>
      <c r="BE128" s="84"/>
      <c r="BF128" s="84"/>
      <c r="BG128" s="84"/>
      <c r="BH128" s="84"/>
      <c r="BI128" s="84"/>
      <c r="BJ128" s="84"/>
      <c r="BK128" s="84"/>
      <c r="BL128" s="84"/>
      <c r="BM128" s="84"/>
    </row>
    <row r="129" spans="1:65">
      <c r="A129" s="84"/>
      <c r="B129" s="84"/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 s="84"/>
      <c r="AB129" s="84"/>
      <c r="AC129" s="84"/>
      <c r="AD129" s="84"/>
      <c r="AE129" s="84"/>
      <c r="AF129" s="84"/>
      <c r="AG129" s="84"/>
      <c r="AH129" s="84"/>
      <c r="AI129" s="84"/>
      <c r="AJ129" s="84"/>
      <c r="AK129" s="84"/>
      <c r="AL129" s="84"/>
      <c r="AM129" s="84"/>
      <c r="AN129" s="84"/>
      <c r="AO129" s="84"/>
      <c r="AP129" s="84"/>
      <c r="AQ129" s="84"/>
      <c r="AR129" s="84"/>
      <c r="AS129" s="84"/>
      <c r="AT129" s="84"/>
      <c r="AU129" s="84"/>
      <c r="AV129" s="84"/>
      <c r="AW129" s="84"/>
      <c r="AX129" s="84"/>
      <c r="AY129" s="84"/>
      <c r="AZ129" s="84"/>
      <c r="BA129" s="84"/>
      <c r="BB129" s="84"/>
      <c r="BC129" s="84"/>
      <c r="BD129" s="84"/>
      <c r="BE129" s="84"/>
      <c r="BF129" s="84"/>
      <c r="BG129" s="84"/>
      <c r="BH129" s="84"/>
      <c r="BI129" s="84"/>
      <c r="BJ129" s="84"/>
      <c r="BK129" s="84"/>
      <c r="BL129" s="84"/>
      <c r="BM129" s="84"/>
    </row>
    <row r="130" spans="1:65">
      <c r="A130" s="84"/>
      <c r="B130" s="84"/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  <c r="AL130" s="84"/>
      <c r="AM130" s="84"/>
      <c r="AN130" s="84"/>
      <c r="AO130" s="84"/>
      <c r="AP130" s="84"/>
      <c r="AQ130" s="84"/>
      <c r="AR130" s="84"/>
      <c r="AS130" s="84"/>
      <c r="AT130" s="84"/>
      <c r="AU130" s="84"/>
      <c r="AV130" s="84"/>
      <c r="AW130" s="84"/>
      <c r="AX130" s="84"/>
      <c r="AY130" s="84"/>
      <c r="AZ130" s="84"/>
      <c r="BA130" s="84"/>
      <c r="BB130" s="84"/>
      <c r="BC130" s="84"/>
      <c r="BD130" s="84"/>
      <c r="BE130" s="84"/>
      <c r="BF130" s="84"/>
      <c r="BG130" s="84"/>
      <c r="BH130" s="84"/>
      <c r="BI130" s="84"/>
      <c r="BJ130" s="84"/>
      <c r="BK130" s="84"/>
      <c r="BL130" s="84"/>
      <c r="BM130" s="84"/>
    </row>
    <row r="131" spans="1:65">
      <c r="A131" s="84"/>
      <c r="B131" s="84"/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  <c r="AL131" s="84"/>
      <c r="AM131" s="84"/>
      <c r="AN131" s="84"/>
      <c r="AO131" s="84"/>
      <c r="AP131" s="84"/>
      <c r="AQ131" s="84"/>
      <c r="AR131" s="84"/>
      <c r="AS131" s="84"/>
      <c r="AT131" s="84"/>
      <c r="AU131" s="84"/>
      <c r="AV131" s="84"/>
      <c r="AW131" s="84"/>
      <c r="AX131" s="84"/>
      <c r="AY131" s="84"/>
      <c r="AZ131" s="84"/>
      <c r="BA131" s="84"/>
      <c r="BB131" s="84"/>
      <c r="BC131" s="84"/>
      <c r="BD131" s="84"/>
      <c r="BE131" s="84"/>
      <c r="BF131" s="84"/>
      <c r="BG131" s="84"/>
      <c r="BH131" s="84"/>
      <c r="BI131" s="84"/>
      <c r="BJ131" s="84"/>
      <c r="BK131" s="84"/>
      <c r="BL131" s="84"/>
      <c r="BM131" s="84"/>
    </row>
    <row r="132" spans="1:65">
      <c r="A132" s="84"/>
      <c r="B132" s="84"/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  <c r="AL132" s="84"/>
      <c r="AM132" s="84"/>
      <c r="AN132" s="84"/>
      <c r="AO132" s="84"/>
      <c r="AP132" s="84"/>
      <c r="AQ132" s="84"/>
      <c r="AR132" s="84"/>
      <c r="AS132" s="84"/>
      <c r="AT132" s="84"/>
      <c r="AU132" s="84"/>
      <c r="AV132" s="84"/>
      <c r="AW132" s="84"/>
      <c r="AX132" s="84"/>
      <c r="AY132" s="84"/>
      <c r="AZ132" s="84"/>
      <c r="BA132" s="84"/>
      <c r="BB132" s="84"/>
      <c r="BC132" s="84"/>
      <c r="BD132" s="84"/>
      <c r="BE132" s="84"/>
      <c r="BF132" s="84"/>
      <c r="BG132" s="84"/>
      <c r="BH132" s="84"/>
      <c r="BI132" s="84"/>
      <c r="BJ132" s="84"/>
      <c r="BK132" s="84"/>
      <c r="BL132" s="84"/>
      <c r="BM132" s="84"/>
    </row>
    <row r="133" spans="1:65">
      <c r="A133" s="84"/>
      <c r="B133" s="84"/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  <c r="AL133" s="84"/>
      <c r="AM133" s="84"/>
      <c r="AN133" s="84"/>
      <c r="AO133" s="84"/>
      <c r="AP133" s="84"/>
      <c r="AQ133" s="84"/>
      <c r="AR133" s="84"/>
      <c r="AS133" s="84"/>
      <c r="AT133" s="84"/>
      <c r="AU133" s="84"/>
      <c r="AV133" s="84"/>
      <c r="AW133" s="84"/>
      <c r="AX133" s="84"/>
      <c r="AY133" s="84"/>
      <c r="AZ133" s="84"/>
      <c r="BA133" s="84"/>
      <c r="BB133" s="84"/>
      <c r="BC133" s="84"/>
      <c r="BD133" s="84"/>
      <c r="BE133" s="84"/>
      <c r="BF133" s="84"/>
      <c r="BG133" s="84"/>
      <c r="BH133" s="84"/>
      <c r="BI133" s="84"/>
      <c r="BJ133" s="84"/>
      <c r="BK133" s="84"/>
      <c r="BL133" s="84"/>
      <c r="BM133" s="84"/>
    </row>
    <row r="134" spans="1:65">
      <c r="A134" s="84"/>
      <c r="B134" s="84"/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  <c r="AA134" s="84"/>
      <c r="AB134" s="84"/>
      <c r="AC134" s="84"/>
      <c r="AD134" s="84"/>
      <c r="AE134" s="84"/>
      <c r="AF134" s="84"/>
      <c r="AG134" s="84"/>
      <c r="AH134" s="84"/>
      <c r="AI134" s="84"/>
      <c r="AJ134" s="84"/>
      <c r="AK134" s="84"/>
      <c r="AL134" s="84"/>
      <c r="AM134" s="84"/>
      <c r="AN134" s="84"/>
      <c r="AO134" s="84"/>
      <c r="AP134" s="84"/>
      <c r="AQ134" s="84"/>
      <c r="AR134" s="84"/>
      <c r="AS134" s="84"/>
      <c r="AT134" s="84"/>
      <c r="AU134" s="84"/>
      <c r="AV134" s="84"/>
      <c r="AW134" s="84"/>
      <c r="AX134" s="84"/>
      <c r="AY134" s="84"/>
      <c r="AZ134" s="84"/>
      <c r="BA134" s="84"/>
      <c r="BB134" s="84"/>
      <c r="BC134" s="84"/>
      <c r="BD134" s="84"/>
      <c r="BE134" s="84"/>
      <c r="BF134" s="84"/>
      <c r="BG134" s="84"/>
      <c r="BH134" s="84"/>
      <c r="BI134" s="84"/>
      <c r="BJ134" s="84"/>
      <c r="BK134" s="84"/>
      <c r="BL134" s="84"/>
      <c r="BM134" s="84"/>
    </row>
    <row r="135" spans="1:65">
      <c r="A135" s="84"/>
      <c r="B135" s="84"/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  <c r="AL135" s="84"/>
      <c r="AM135" s="84"/>
      <c r="AN135" s="84"/>
      <c r="AO135" s="84"/>
      <c r="AP135" s="84"/>
      <c r="AQ135" s="84"/>
      <c r="AR135" s="84"/>
      <c r="AS135" s="84"/>
      <c r="AT135" s="84"/>
      <c r="AU135" s="84"/>
      <c r="AV135" s="84"/>
      <c r="AW135" s="84"/>
      <c r="AX135" s="84"/>
      <c r="AY135" s="84"/>
      <c r="AZ135" s="84"/>
      <c r="BA135" s="84"/>
      <c r="BB135" s="84"/>
      <c r="BC135" s="84"/>
      <c r="BD135" s="84"/>
      <c r="BE135" s="84"/>
      <c r="BF135" s="84"/>
      <c r="BG135" s="84"/>
      <c r="BH135" s="84"/>
      <c r="BI135" s="84"/>
      <c r="BJ135" s="84"/>
      <c r="BK135" s="84"/>
      <c r="BL135" s="84"/>
      <c r="BM135" s="84"/>
    </row>
    <row r="136" spans="1:65">
      <c r="A136" s="84"/>
      <c r="B136" s="84"/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  <c r="AL136" s="84"/>
      <c r="AM136" s="84"/>
      <c r="AN136" s="84"/>
      <c r="AO136" s="84"/>
      <c r="AP136" s="84"/>
      <c r="AQ136" s="84"/>
      <c r="AR136" s="84"/>
      <c r="AS136" s="84"/>
      <c r="AT136" s="84"/>
      <c r="AU136" s="84"/>
      <c r="AV136" s="84"/>
      <c r="AW136" s="84"/>
      <c r="AX136" s="84"/>
      <c r="AY136" s="84"/>
      <c r="AZ136" s="84"/>
      <c r="BA136" s="84"/>
      <c r="BB136" s="84"/>
      <c r="BC136" s="84"/>
      <c r="BD136" s="84"/>
      <c r="BE136" s="84"/>
      <c r="BF136" s="84"/>
      <c r="BG136" s="84"/>
      <c r="BH136" s="84"/>
      <c r="BI136" s="84"/>
      <c r="BJ136" s="84"/>
      <c r="BK136" s="84"/>
      <c r="BL136" s="84"/>
      <c r="BM136" s="84"/>
    </row>
    <row r="137" spans="1:65">
      <c r="A137" s="84"/>
      <c r="B137" s="84"/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  <c r="AL137" s="84"/>
      <c r="AM137" s="84"/>
      <c r="AN137" s="84"/>
      <c r="AO137" s="84"/>
      <c r="AP137" s="84"/>
      <c r="AQ137" s="84"/>
      <c r="AR137" s="84"/>
      <c r="AS137" s="84"/>
      <c r="AT137" s="84"/>
      <c r="AU137" s="84"/>
      <c r="AV137" s="84"/>
      <c r="AW137" s="84"/>
      <c r="AX137" s="84"/>
      <c r="AY137" s="84"/>
      <c r="AZ137" s="84"/>
      <c r="BA137" s="84"/>
      <c r="BB137" s="84"/>
      <c r="BC137" s="84"/>
      <c r="BD137" s="84"/>
      <c r="BE137" s="84"/>
      <c r="BF137" s="84"/>
      <c r="BG137" s="84"/>
      <c r="BH137" s="84"/>
      <c r="BI137" s="84"/>
      <c r="BJ137" s="84"/>
      <c r="BK137" s="84"/>
      <c r="BL137" s="84"/>
      <c r="BM137" s="84"/>
    </row>
    <row r="138" spans="1:65">
      <c r="A138" s="84"/>
      <c r="B138" s="84"/>
      <c r="C138" s="84"/>
      <c r="D138" s="84"/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  <c r="AL138" s="84"/>
      <c r="AM138" s="84"/>
      <c r="AN138" s="84"/>
      <c r="AO138" s="84"/>
      <c r="AP138" s="84"/>
      <c r="AQ138" s="84"/>
      <c r="AR138" s="84"/>
      <c r="AS138" s="84"/>
      <c r="AT138" s="84"/>
      <c r="AU138" s="84"/>
      <c r="AV138" s="84"/>
      <c r="AW138" s="84"/>
      <c r="AX138" s="84"/>
      <c r="AY138" s="84"/>
      <c r="AZ138" s="84"/>
      <c r="BA138" s="84"/>
      <c r="BB138" s="84"/>
      <c r="BC138" s="84"/>
      <c r="BD138" s="84"/>
      <c r="BE138" s="84"/>
      <c r="BF138" s="84"/>
      <c r="BG138" s="84"/>
      <c r="BH138" s="84"/>
      <c r="BI138" s="84"/>
      <c r="BJ138" s="84"/>
      <c r="BK138" s="84"/>
      <c r="BL138" s="84"/>
      <c r="BM138" s="84"/>
    </row>
    <row r="139" spans="1:65">
      <c r="A139" s="84"/>
      <c r="B139" s="84"/>
      <c r="C139" s="84"/>
      <c r="D139" s="84"/>
      <c r="E139" s="84"/>
      <c r="F139" s="8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  <c r="W139" s="84"/>
      <c r="X139" s="84"/>
      <c r="Y139" s="84"/>
      <c r="Z139" s="84"/>
      <c r="AA139" s="84"/>
      <c r="AB139" s="84"/>
      <c r="AC139" s="84"/>
      <c r="AD139" s="84"/>
      <c r="AE139" s="84"/>
      <c r="AF139" s="84"/>
      <c r="AG139" s="84"/>
      <c r="AH139" s="84"/>
      <c r="AI139" s="84"/>
      <c r="AJ139" s="84"/>
      <c r="AK139" s="84"/>
      <c r="AL139" s="84"/>
      <c r="AM139" s="84"/>
      <c r="AN139" s="84"/>
      <c r="AO139" s="84"/>
      <c r="AP139" s="84"/>
      <c r="AQ139" s="84"/>
      <c r="AR139" s="84"/>
      <c r="AS139" s="84"/>
      <c r="AT139" s="84"/>
      <c r="AU139" s="84"/>
      <c r="AV139" s="84"/>
      <c r="AW139" s="84"/>
      <c r="AX139" s="84"/>
      <c r="AY139" s="84"/>
      <c r="AZ139" s="84"/>
      <c r="BA139" s="84"/>
      <c r="BB139" s="84"/>
      <c r="BC139" s="84"/>
      <c r="BD139" s="84"/>
      <c r="BE139" s="84"/>
      <c r="BF139" s="84"/>
      <c r="BG139" s="84"/>
      <c r="BH139" s="84"/>
      <c r="BI139" s="84"/>
      <c r="BJ139" s="84"/>
      <c r="BK139" s="84"/>
      <c r="BL139" s="84"/>
      <c r="BM139" s="84"/>
    </row>
    <row r="140" spans="1:65">
      <c r="A140" s="84"/>
      <c r="B140" s="84"/>
      <c r="C140" s="84"/>
      <c r="D140" s="84"/>
      <c r="E140" s="84"/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4"/>
      <c r="AA140" s="84"/>
      <c r="AB140" s="84"/>
      <c r="AC140" s="84"/>
      <c r="AD140" s="84"/>
      <c r="AE140" s="84"/>
      <c r="AF140" s="84"/>
      <c r="AG140" s="84"/>
      <c r="AH140" s="84"/>
      <c r="AI140" s="84"/>
      <c r="AJ140" s="84"/>
      <c r="AK140" s="84"/>
      <c r="AL140" s="84"/>
      <c r="AM140" s="84"/>
      <c r="AN140" s="84"/>
      <c r="AO140" s="84"/>
      <c r="AP140" s="84"/>
      <c r="AQ140" s="84"/>
      <c r="AR140" s="84"/>
      <c r="AS140" s="84"/>
      <c r="AT140" s="84"/>
      <c r="AU140" s="84"/>
      <c r="AV140" s="84"/>
      <c r="AW140" s="84"/>
      <c r="AX140" s="84"/>
      <c r="AY140" s="84"/>
      <c r="AZ140" s="84"/>
      <c r="BA140" s="84"/>
      <c r="BB140" s="84"/>
      <c r="BC140" s="84"/>
      <c r="BD140" s="84"/>
      <c r="BE140" s="84"/>
      <c r="BF140" s="84"/>
      <c r="BG140" s="84"/>
      <c r="BH140" s="84"/>
      <c r="BI140" s="84"/>
      <c r="BJ140" s="84"/>
      <c r="BK140" s="84"/>
      <c r="BL140" s="84"/>
      <c r="BM140" s="84"/>
    </row>
    <row r="141" spans="1:65">
      <c r="A141" s="84"/>
      <c r="B141" s="84"/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  <c r="AL141" s="84"/>
      <c r="AM141" s="84"/>
      <c r="AN141" s="84"/>
      <c r="AO141" s="84"/>
      <c r="AP141" s="84"/>
      <c r="AQ141" s="84"/>
      <c r="AR141" s="84"/>
      <c r="AS141" s="84"/>
      <c r="AT141" s="84"/>
      <c r="AU141" s="84"/>
      <c r="AV141" s="84"/>
      <c r="AW141" s="84"/>
      <c r="AX141" s="84"/>
      <c r="AY141" s="84"/>
      <c r="AZ141" s="84"/>
      <c r="BA141" s="84"/>
      <c r="BB141" s="84"/>
      <c r="BC141" s="84"/>
      <c r="BD141" s="84"/>
      <c r="BE141" s="84"/>
      <c r="BF141" s="84"/>
      <c r="BG141" s="84"/>
      <c r="BH141" s="84"/>
      <c r="BI141" s="84"/>
      <c r="BJ141" s="84"/>
      <c r="BK141" s="84"/>
      <c r="BL141" s="84"/>
      <c r="BM141" s="84"/>
    </row>
    <row r="142" spans="1:65">
      <c r="A142" s="84"/>
      <c r="B142" s="84"/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  <c r="W142" s="84"/>
      <c r="X142" s="84"/>
      <c r="Y142" s="84"/>
      <c r="Z142" s="84"/>
      <c r="AA142" s="84"/>
      <c r="AB142" s="84"/>
      <c r="AC142" s="84"/>
      <c r="AD142" s="84"/>
      <c r="AE142" s="84"/>
      <c r="AF142" s="84"/>
      <c r="AG142" s="84"/>
      <c r="AH142" s="84"/>
      <c r="AI142" s="84"/>
      <c r="AJ142" s="84"/>
      <c r="AK142" s="84"/>
      <c r="AL142" s="84"/>
      <c r="AM142" s="84"/>
      <c r="AN142" s="84"/>
      <c r="AO142" s="84"/>
      <c r="AP142" s="84"/>
      <c r="AQ142" s="84"/>
      <c r="AR142" s="84"/>
      <c r="AS142" s="84"/>
      <c r="AT142" s="84"/>
      <c r="AU142" s="84"/>
      <c r="AV142" s="84"/>
      <c r="AW142" s="84"/>
      <c r="AX142" s="84"/>
      <c r="AY142" s="84"/>
      <c r="AZ142" s="84"/>
      <c r="BA142" s="84"/>
      <c r="BB142" s="84"/>
      <c r="BC142" s="84"/>
      <c r="BD142" s="84"/>
      <c r="BE142" s="84"/>
      <c r="BF142" s="84"/>
      <c r="BG142" s="84"/>
      <c r="BH142" s="84"/>
      <c r="BI142" s="84"/>
      <c r="BJ142" s="84"/>
      <c r="BK142" s="84"/>
      <c r="BL142" s="84"/>
      <c r="BM142" s="84"/>
    </row>
    <row r="143" spans="1:65">
      <c r="A143" s="84"/>
      <c r="B143" s="84"/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  <c r="AA143" s="84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  <c r="AL143" s="84"/>
      <c r="AM143" s="84"/>
      <c r="AN143" s="84"/>
      <c r="AO143" s="84"/>
      <c r="AP143" s="84"/>
      <c r="AQ143" s="84"/>
      <c r="AR143" s="84"/>
      <c r="AS143" s="84"/>
      <c r="AT143" s="84"/>
      <c r="AU143" s="84"/>
      <c r="AV143" s="84"/>
      <c r="AW143" s="84"/>
      <c r="AX143" s="84"/>
      <c r="AY143" s="84"/>
      <c r="AZ143" s="84"/>
      <c r="BA143" s="84"/>
      <c r="BB143" s="84"/>
      <c r="BC143" s="84"/>
      <c r="BD143" s="84"/>
      <c r="BE143" s="84"/>
      <c r="BF143" s="84"/>
      <c r="BG143" s="84"/>
      <c r="BH143" s="84"/>
      <c r="BI143" s="84"/>
      <c r="BJ143" s="84"/>
      <c r="BK143" s="84"/>
      <c r="BL143" s="84"/>
      <c r="BM143" s="84"/>
    </row>
    <row r="144" spans="1:65">
      <c r="A144" s="84"/>
      <c r="B144" s="84"/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  <c r="AA144" s="84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  <c r="AL144" s="84"/>
      <c r="AM144" s="84"/>
      <c r="AN144" s="84"/>
      <c r="AO144" s="84"/>
      <c r="AP144" s="84"/>
      <c r="AQ144" s="84"/>
      <c r="AR144" s="84"/>
      <c r="AS144" s="84"/>
      <c r="AT144" s="84"/>
      <c r="AU144" s="84"/>
      <c r="AV144" s="84"/>
      <c r="AW144" s="84"/>
      <c r="AX144" s="84"/>
      <c r="AY144" s="84"/>
      <c r="AZ144" s="84"/>
      <c r="BA144" s="84"/>
      <c r="BB144" s="84"/>
      <c r="BC144" s="84"/>
      <c r="BD144" s="84"/>
      <c r="BE144" s="84"/>
      <c r="BF144" s="84"/>
      <c r="BG144" s="84"/>
      <c r="BH144" s="84"/>
      <c r="BI144" s="84"/>
      <c r="BJ144" s="84"/>
      <c r="BK144" s="84"/>
      <c r="BL144" s="84"/>
      <c r="BM144" s="84"/>
    </row>
    <row r="145" spans="1:65">
      <c r="A145" s="84"/>
      <c r="B145" s="84"/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  <c r="AA145" s="84"/>
      <c r="AB145" s="84"/>
      <c r="AC145" s="84"/>
      <c r="AD145" s="84"/>
      <c r="AE145" s="84"/>
      <c r="AF145" s="84"/>
      <c r="AG145" s="84"/>
      <c r="AH145" s="84"/>
      <c r="AI145" s="84"/>
      <c r="AJ145" s="84"/>
      <c r="AK145" s="84"/>
      <c r="AL145" s="84"/>
      <c r="AM145" s="84"/>
      <c r="AN145" s="84"/>
      <c r="AO145" s="84"/>
      <c r="AP145" s="84"/>
      <c r="AQ145" s="84"/>
      <c r="AR145" s="84"/>
      <c r="AS145" s="84"/>
      <c r="AT145" s="84"/>
      <c r="AU145" s="84"/>
      <c r="AV145" s="84"/>
      <c r="AW145" s="84"/>
      <c r="AX145" s="84"/>
      <c r="AY145" s="84"/>
      <c r="AZ145" s="84"/>
      <c r="BA145" s="84"/>
      <c r="BB145" s="84"/>
      <c r="BC145" s="84"/>
      <c r="BD145" s="84"/>
      <c r="BE145" s="84"/>
      <c r="BF145" s="84"/>
      <c r="BG145" s="84"/>
      <c r="BH145" s="84"/>
      <c r="BI145" s="84"/>
      <c r="BJ145" s="84"/>
      <c r="BK145" s="84"/>
      <c r="BL145" s="84"/>
      <c r="BM145" s="84"/>
    </row>
    <row r="146" spans="1:65">
      <c r="A146" s="84"/>
      <c r="B146" s="84"/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  <c r="AA146" s="84"/>
      <c r="AB146" s="84"/>
      <c r="AC146" s="84"/>
      <c r="AD146" s="84"/>
      <c r="AE146" s="84"/>
      <c r="AF146" s="84"/>
      <c r="AG146" s="84"/>
      <c r="AH146" s="84"/>
      <c r="AI146" s="84"/>
      <c r="AJ146" s="84"/>
      <c r="AK146" s="84"/>
      <c r="AL146" s="84"/>
      <c r="AM146" s="84"/>
      <c r="AN146" s="84"/>
      <c r="AO146" s="84"/>
      <c r="AP146" s="84"/>
      <c r="AQ146" s="84"/>
      <c r="AR146" s="84"/>
      <c r="AS146" s="84"/>
      <c r="AT146" s="84"/>
      <c r="AU146" s="84"/>
      <c r="AV146" s="84"/>
      <c r="AW146" s="84"/>
      <c r="AX146" s="84"/>
      <c r="AY146" s="84"/>
      <c r="AZ146" s="84"/>
      <c r="BA146" s="84"/>
      <c r="BB146" s="84"/>
      <c r="BC146" s="84"/>
      <c r="BD146" s="84"/>
      <c r="BE146" s="84"/>
      <c r="BF146" s="84"/>
      <c r="BG146" s="84"/>
      <c r="BH146" s="84"/>
      <c r="BI146" s="84"/>
      <c r="BJ146" s="84"/>
      <c r="BK146" s="84"/>
      <c r="BL146" s="84"/>
      <c r="BM146" s="84"/>
    </row>
    <row r="147" spans="1:65">
      <c r="A147" s="84"/>
      <c r="B147" s="84"/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  <c r="AA147" s="84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  <c r="AL147" s="84"/>
      <c r="AM147" s="84"/>
      <c r="AN147" s="84"/>
      <c r="AO147" s="84"/>
      <c r="AP147" s="84"/>
      <c r="AQ147" s="84"/>
      <c r="AR147" s="84"/>
      <c r="AS147" s="84"/>
      <c r="AT147" s="84"/>
      <c r="AU147" s="84"/>
      <c r="AV147" s="84"/>
      <c r="AW147" s="84"/>
      <c r="AX147" s="84"/>
      <c r="AY147" s="84"/>
      <c r="AZ147" s="84"/>
      <c r="BA147" s="84"/>
      <c r="BB147" s="84"/>
      <c r="BC147" s="84"/>
      <c r="BD147" s="84"/>
      <c r="BE147" s="84"/>
      <c r="BF147" s="84"/>
      <c r="BG147" s="84"/>
      <c r="BH147" s="84"/>
      <c r="BI147" s="84"/>
      <c r="BJ147" s="84"/>
      <c r="BK147" s="84"/>
      <c r="BL147" s="84"/>
      <c r="BM147" s="84"/>
    </row>
  </sheetData>
  <mergeCells count="7">
    <mergeCell ref="I8:J8"/>
    <mergeCell ref="L8:M8"/>
    <mergeCell ref="B6:F6"/>
    <mergeCell ref="H1:I1"/>
    <mergeCell ref="H2:I2"/>
    <mergeCell ref="H4:O4"/>
    <mergeCell ref="H6:N6"/>
  </mergeCells>
  <conditionalFormatting sqref="C8:C115">
    <cfRule type="expression" dxfId="5" priority="1">
      <formula>C8&lt;F8</formula>
    </cfRule>
    <cfRule type="expression" dxfId="4" priority="2">
      <formula>C8&gt;D8</formula>
    </cfRule>
  </conditionalFormatting>
  <hyperlinks>
    <hyperlink ref="B1" location="INICIO!A1" display="INICIO" xr:uid="{00000000-0004-0000-0900-000000000000}"/>
    <hyperlink ref="B4" location="RESULTADOSNP" display="RESULTADOS" xr:uid="{00000000-0004-0000-0900-000001000000}"/>
    <hyperlink ref="B3" location="'GRÁFICO U'!A1" display="SIGUIENTE" xr:uid="{00000000-0004-0000-0900-000002000000}"/>
    <hyperlink ref="B2" location="'GRÁFICO NP'!A1" display="ATRÁS" xr:uid="{00000000-0004-0000-0900-000003000000}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rgb="FFFF99CC"/>
  </sheetPr>
  <dimension ref="A1:BT147"/>
  <sheetViews>
    <sheetView topLeftCell="J1" zoomScale="87" zoomScaleNormal="87" workbookViewId="0">
      <selection activeCell="G28" sqref="G28"/>
    </sheetView>
  </sheetViews>
  <sheetFormatPr baseColWidth="10" defaultRowHeight="15"/>
  <cols>
    <col min="2" max="2" width="20" bestFit="1" customWidth="1"/>
    <col min="3" max="3" width="20" style="84" customWidth="1"/>
    <col min="4" max="4" width="25.28515625" style="84" customWidth="1"/>
    <col min="5" max="5" width="20" style="84" customWidth="1"/>
    <col min="6" max="6" width="22.140625" style="84" bestFit="1" customWidth="1"/>
    <col min="14" max="14" width="15.42578125" customWidth="1"/>
    <col min="17" max="17" width="20.28515625" customWidth="1"/>
    <col min="2000" max="2000" width="2.7109375" customWidth="1"/>
  </cols>
  <sheetData>
    <row r="1" spans="1:72" ht="19.5" thickBot="1">
      <c r="A1" s="84"/>
      <c r="B1" s="48" t="s">
        <v>27</v>
      </c>
      <c r="C1" s="138"/>
      <c r="D1" s="138"/>
      <c r="E1" s="138"/>
      <c r="F1" s="138"/>
      <c r="G1" s="84"/>
      <c r="H1" s="84"/>
      <c r="I1" s="84"/>
      <c r="J1" s="4"/>
      <c r="K1" s="107"/>
      <c r="L1" s="58"/>
      <c r="M1" s="58"/>
      <c r="N1" s="58"/>
      <c r="O1" s="58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57"/>
      <c r="AP1" s="57"/>
      <c r="AQ1" s="57"/>
      <c r="AR1" s="57"/>
      <c r="AS1" s="93"/>
      <c r="AT1" s="93"/>
      <c r="AU1" s="93"/>
      <c r="AV1" s="93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  <c r="BP1" s="84"/>
      <c r="BQ1" s="84"/>
      <c r="BR1" s="84"/>
      <c r="BS1" s="84"/>
      <c r="BT1" s="84"/>
    </row>
    <row r="2" spans="1:72" ht="19.5" thickBot="1">
      <c r="A2" s="84"/>
      <c r="B2" s="130" t="s">
        <v>29</v>
      </c>
      <c r="C2" s="138"/>
      <c r="D2" s="138"/>
      <c r="E2" s="138"/>
      <c r="F2" s="138"/>
      <c r="G2" s="84"/>
      <c r="H2" s="84"/>
      <c r="I2" s="84"/>
      <c r="J2" s="4"/>
      <c r="K2" s="107"/>
      <c r="L2" s="58"/>
      <c r="M2" s="58"/>
      <c r="N2" s="58"/>
      <c r="O2" s="58"/>
      <c r="P2" s="84"/>
      <c r="Q2" s="84"/>
      <c r="R2" s="58"/>
      <c r="S2" s="58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57"/>
      <c r="AP2" s="57"/>
      <c r="AQ2" s="57"/>
      <c r="AR2" s="57"/>
      <c r="AS2" s="98"/>
      <c r="AT2" s="98"/>
      <c r="AU2" s="98"/>
      <c r="AV2" s="98"/>
      <c r="AW2" s="84"/>
      <c r="AX2" s="84"/>
      <c r="AY2" s="84"/>
      <c r="AZ2" s="84"/>
      <c r="BA2" s="84"/>
      <c r="BB2" s="84"/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</row>
    <row r="3" spans="1:72" ht="19.5" thickBot="1">
      <c r="A3" s="138"/>
      <c r="B3" s="138"/>
      <c r="C3" s="138"/>
      <c r="D3" s="138"/>
      <c r="E3" s="138"/>
      <c r="F3" s="138"/>
      <c r="G3" s="107"/>
      <c r="H3" s="107"/>
      <c r="I3" s="107"/>
      <c r="J3" s="4"/>
      <c r="K3" s="107"/>
      <c r="L3" s="107"/>
      <c r="M3" s="84"/>
      <c r="N3" s="84"/>
      <c r="O3" s="58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57"/>
      <c r="AP3" s="57"/>
      <c r="AQ3" s="57"/>
      <c r="AR3" s="57"/>
      <c r="AS3" s="98"/>
      <c r="AT3" s="98"/>
      <c r="AU3" s="98"/>
      <c r="AV3" s="98"/>
      <c r="AW3" s="84"/>
      <c r="AX3" s="84"/>
      <c r="AY3" s="84"/>
      <c r="AZ3" s="84"/>
      <c r="BA3" s="84"/>
      <c r="BB3" s="84"/>
      <c r="BC3" s="84"/>
      <c r="BD3" s="84"/>
      <c r="BE3" s="84"/>
      <c r="BF3" s="84"/>
      <c r="BG3" s="84"/>
      <c r="BH3" s="84"/>
      <c r="BI3" s="84"/>
      <c r="BJ3" s="84"/>
      <c r="BK3" s="84"/>
      <c r="BL3" s="84"/>
      <c r="BM3" s="84"/>
      <c r="BN3" s="84"/>
      <c r="BO3" s="84"/>
      <c r="BP3" s="84"/>
      <c r="BQ3" s="84"/>
      <c r="BR3" s="84"/>
      <c r="BS3" s="84"/>
      <c r="BT3" s="84"/>
    </row>
    <row r="4" spans="1:72" ht="21.75" thickBot="1">
      <c r="A4" s="138"/>
      <c r="B4" s="138"/>
      <c r="C4" s="138"/>
      <c r="D4" s="138"/>
      <c r="E4" s="138"/>
      <c r="F4" s="138"/>
      <c r="G4" s="107"/>
      <c r="H4" s="107"/>
      <c r="I4" s="107"/>
      <c r="J4" s="107"/>
      <c r="K4" s="107"/>
      <c r="L4" s="249" t="s">
        <v>30</v>
      </c>
      <c r="M4" s="250"/>
      <c r="N4" s="250"/>
      <c r="O4" s="250"/>
      <c r="P4" s="250"/>
      <c r="Q4" s="250"/>
      <c r="R4" s="250"/>
      <c r="S4" s="251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  <c r="AN4" s="84"/>
      <c r="AO4" s="57"/>
      <c r="AP4" s="57"/>
      <c r="AQ4" s="57"/>
      <c r="AR4" s="57"/>
      <c r="AS4" s="98"/>
      <c r="AT4" s="98"/>
      <c r="AU4" s="98"/>
      <c r="AV4" s="98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4"/>
      <c r="BK4" s="84"/>
      <c r="BL4" s="84"/>
      <c r="BM4" s="84"/>
      <c r="BN4" s="84"/>
      <c r="BO4" s="84"/>
      <c r="BP4" s="84"/>
      <c r="BQ4" s="84"/>
      <c r="BR4" s="84"/>
      <c r="BS4" s="84"/>
      <c r="BT4" s="84"/>
    </row>
    <row r="5" spans="1:72" ht="15.75" thickBot="1">
      <c r="A5" s="84"/>
      <c r="B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57"/>
      <c r="AP5" s="57"/>
      <c r="AQ5" s="57"/>
      <c r="AR5" s="57"/>
      <c r="AS5" s="98"/>
      <c r="AT5" s="98"/>
      <c r="AU5" s="98"/>
      <c r="AV5" s="98"/>
      <c r="AW5" s="84"/>
      <c r="AX5" s="84"/>
      <c r="AY5" s="84"/>
      <c r="AZ5" s="84"/>
      <c r="BA5" s="84"/>
      <c r="BB5" s="84"/>
      <c r="BC5" s="84"/>
      <c r="BD5" s="84"/>
      <c r="BE5" s="84"/>
      <c r="BF5" s="84"/>
      <c r="BG5" s="84"/>
      <c r="BH5" s="84"/>
      <c r="BI5" s="84"/>
      <c r="BJ5" s="84"/>
      <c r="BK5" s="84"/>
      <c r="BL5" s="84"/>
      <c r="BM5" s="84"/>
      <c r="BN5" s="84"/>
      <c r="BO5" s="84"/>
      <c r="BP5" s="84"/>
      <c r="BQ5" s="84"/>
      <c r="BR5" s="84"/>
      <c r="BS5" s="84"/>
      <c r="BT5" s="84"/>
    </row>
    <row r="6" spans="1:72" ht="15.75" thickBot="1">
      <c r="A6" s="4"/>
      <c r="B6" s="276" t="s">
        <v>1</v>
      </c>
      <c r="C6" s="262"/>
      <c r="D6" s="262"/>
      <c r="E6" s="262"/>
      <c r="F6" s="262"/>
      <c r="G6" s="262"/>
      <c r="H6" s="262"/>
      <c r="I6" s="262"/>
      <c r="J6" s="265"/>
      <c r="K6" s="84"/>
      <c r="L6" s="252" t="s">
        <v>78</v>
      </c>
      <c r="M6" s="253"/>
      <c r="N6" s="253"/>
      <c r="O6" s="253"/>
      <c r="P6" s="253"/>
      <c r="Q6" s="253"/>
      <c r="R6" s="25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57"/>
      <c r="AP6" s="57"/>
      <c r="AQ6" s="57"/>
      <c r="AR6" s="57"/>
      <c r="AS6" s="98"/>
      <c r="AT6" s="98"/>
      <c r="AU6" s="98"/>
      <c r="AV6" s="98"/>
      <c r="AW6" s="84"/>
      <c r="AX6" s="84"/>
      <c r="AY6" s="84"/>
      <c r="AZ6" s="84"/>
      <c r="BA6" s="84"/>
      <c r="BB6" s="84"/>
      <c r="BC6" s="84"/>
      <c r="BD6" s="84"/>
      <c r="BE6" s="84"/>
      <c r="BF6" s="84"/>
      <c r="BG6" s="84"/>
      <c r="BH6" s="84"/>
      <c r="BI6" s="84"/>
      <c r="BJ6" s="84"/>
      <c r="BK6" s="84"/>
      <c r="BL6" s="84"/>
      <c r="BM6" s="84"/>
      <c r="BN6" s="84"/>
      <c r="BO6" s="84"/>
      <c r="BP6" s="84"/>
      <c r="BQ6" s="84"/>
      <c r="BR6" s="84"/>
      <c r="BS6" s="84"/>
      <c r="BT6" s="84"/>
    </row>
    <row r="7" spans="1:72" ht="15.75" thickBot="1">
      <c r="A7" s="35" t="s">
        <v>0</v>
      </c>
      <c r="B7" s="139" t="s">
        <v>72</v>
      </c>
      <c r="C7" s="140" t="s">
        <v>76</v>
      </c>
      <c r="D7" s="140" t="s">
        <v>77</v>
      </c>
      <c r="E7" s="140" t="s">
        <v>74</v>
      </c>
      <c r="F7" s="114" t="s">
        <v>77</v>
      </c>
      <c r="G7" s="114" t="s">
        <v>75</v>
      </c>
      <c r="H7" s="114" t="s">
        <v>5</v>
      </c>
      <c r="I7" s="114" t="s">
        <v>6</v>
      </c>
      <c r="J7" s="99" t="s">
        <v>6</v>
      </c>
      <c r="K7" s="84"/>
      <c r="L7" s="64"/>
      <c r="M7" s="4"/>
      <c r="N7" s="4"/>
      <c r="O7" s="4"/>
      <c r="P7" s="4"/>
      <c r="Q7" s="4"/>
      <c r="R7" s="65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  <c r="AL7" s="84"/>
      <c r="AM7" s="84"/>
      <c r="AN7" s="84"/>
      <c r="AO7" s="57"/>
      <c r="AP7" s="57"/>
      <c r="AQ7" s="57"/>
      <c r="AR7" s="57"/>
      <c r="AS7" s="98"/>
      <c r="AT7" s="98"/>
      <c r="AU7" s="98"/>
      <c r="AV7" s="98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  <c r="BN7" s="84"/>
      <c r="BO7" s="84"/>
      <c r="BP7" s="84"/>
      <c r="BQ7" s="84"/>
      <c r="BR7" s="84"/>
      <c r="BS7" s="84"/>
      <c r="BT7" s="84"/>
    </row>
    <row r="8" spans="1:72" ht="15.75" thickBot="1">
      <c r="A8" s="80">
        <v>1</v>
      </c>
      <c r="B8" s="141">
        <v>8</v>
      </c>
      <c r="C8" s="142">
        <v>92</v>
      </c>
      <c r="D8" s="144">
        <f>IF(C8&gt;0,B8/C8,"")</f>
        <v>8.6956521739130432E-2</v>
      </c>
      <c r="E8" s="149">
        <f>IF(B8="","",SQRT(G8/C8))</f>
        <v>2.9288467629345269E-2</v>
      </c>
      <c r="F8" s="145">
        <f>D8</f>
        <v>8.6956521739130432E-2</v>
      </c>
      <c r="G8" s="145">
        <f>IF(B8="","",SUM($B$8:$B$116)/SUM($C$8:$C$116))</f>
        <v>7.8918918918918918E-2</v>
      </c>
      <c r="H8" s="146">
        <f>IF(B8="","",G8+3*E8)</f>
        <v>0.16678432180695474</v>
      </c>
      <c r="I8" s="146">
        <f>IF(J8&lt;0,0,J8)</f>
        <v>0</v>
      </c>
      <c r="J8" s="147">
        <f>IF(B8="","",G8-3*E8)</f>
        <v>-8.946483969116889E-3</v>
      </c>
      <c r="K8" s="84"/>
      <c r="L8" s="64"/>
      <c r="M8" s="245" t="s">
        <v>33</v>
      </c>
      <c r="N8" s="246"/>
      <c r="O8" s="4"/>
      <c r="P8" s="245" t="s">
        <v>36</v>
      </c>
      <c r="Q8" s="246"/>
      <c r="R8" s="65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  <c r="AI8" s="84"/>
      <c r="AJ8" s="84"/>
      <c r="AK8" s="84"/>
      <c r="AL8" s="84"/>
      <c r="AM8" s="84"/>
      <c r="AN8" s="84"/>
      <c r="AO8" s="57"/>
      <c r="AP8" s="57"/>
      <c r="AQ8" s="57"/>
      <c r="AR8" s="57"/>
      <c r="AS8" s="98"/>
      <c r="AT8" s="98"/>
      <c r="AU8" s="98"/>
      <c r="AV8" s="98"/>
      <c r="AW8" s="84"/>
      <c r="AX8" s="84"/>
      <c r="AY8" s="84"/>
      <c r="AZ8" s="84"/>
      <c r="BA8" s="84"/>
      <c r="BB8" s="84"/>
      <c r="BC8" s="84"/>
      <c r="BD8" s="84"/>
      <c r="BE8" s="84"/>
      <c r="BF8" s="84"/>
      <c r="BG8" s="84"/>
      <c r="BH8" s="84"/>
      <c r="BI8" s="84"/>
      <c r="BJ8" s="84"/>
      <c r="BK8" s="84"/>
      <c r="BL8" s="84"/>
      <c r="BM8" s="84"/>
      <c r="BN8" s="84"/>
      <c r="BO8" s="84"/>
      <c r="BP8" s="84"/>
      <c r="BQ8" s="84"/>
      <c r="BR8" s="84"/>
      <c r="BS8" s="84"/>
      <c r="BT8" s="84"/>
    </row>
    <row r="9" spans="1:72" ht="15.75" thickBot="1">
      <c r="A9" s="80">
        <v>2</v>
      </c>
      <c r="B9" s="143">
        <v>15</v>
      </c>
      <c r="C9" s="142">
        <v>69</v>
      </c>
      <c r="D9" s="144">
        <f t="shared" ref="D9:D72" si="0">IF(C9&gt;0,B9/C9,"")</f>
        <v>0.21739130434782608</v>
      </c>
      <c r="E9" s="149">
        <f t="shared" ref="E9:E72" si="1">IF(B9="","",SQRT(G9/C9))</f>
        <v>3.3819409339908263E-2</v>
      </c>
      <c r="F9" s="145">
        <f t="shared" ref="F9:F72" si="2">D9</f>
        <v>0.21739130434782608</v>
      </c>
      <c r="G9" s="145">
        <f>IF(B9="","",SUM($B$8:$B$116)/SUM($C$8:$C$116))</f>
        <v>7.8918918918918918E-2</v>
      </c>
      <c r="H9" s="146">
        <f t="shared" ref="H9:H72" si="3">IF(B9="","",G9+3*E9)</f>
        <v>0.18037714693864371</v>
      </c>
      <c r="I9" s="148">
        <f t="shared" ref="I9:I39" si="4">IF(J9&lt;0,0,J9)</f>
        <v>0</v>
      </c>
      <c r="J9" s="147">
        <f t="shared" ref="J9:J72" si="5">IF(B9="","",G9-3*E9)</f>
        <v>-2.2539309100805871E-2</v>
      </c>
      <c r="K9" s="84"/>
      <c r="L9" s="64"/>
      <c r="M9" s="63" t="s">
        <v>5</v>
      </c>
      <c r="N9" s="63"/>
      <c r="O9" s="4"/>
      <c r="P9" s="63" t="s">
        <v>37</v>
      </c>
      <c r="Q9" s="59">
        <f>COUNTIF(F8:F115,"&gt;"&amp;$G$9)</f>
        <v>14</v>
      </c>
      <c r="R9" s="65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  <c r="AI9" s="84"/>
      <c r="AJ9" s="84"/>
      <c r="AK9" s="84"/>
      <c r="AL9" s="84"/>
      <c r="AM9" s="84"/>
      <c r="AN9" s="84"/>
      <c r="AO9" s="57"/>
      <c r="AP9" s="57"/>
      <c r="AQ9" s="57"/>
      <c r="AR9" s="57"/>
      <c r="AS9" s="98"/>
      <c r="AT9" s="98"/>
      <c r="AU9" s="98"/>
      <c r="AV9" s="98"/>
      <c r="AW9" s="84"/>
      <c r="AX9" s="84"/>
      <c r="AY9" s="84"/>
      <c r="AZ9" s="84"/>
      <c r="BA9" s="84"/>
      <c r="BB9" s="84"/>
      <c r="BC9" s="84"/>
      <c r="BD9" s="84"/>
      <c r="BE9" s="84"/>
      <c r="BF9" s="84"/>
      <c r="BG9" s="84"/>
      <c r="BH9" s="84"/>
      <c r="BI9" s="84"/>
      <c r="BJ9" s="84"/>
      <c r="BK9" s="84"/>
      <c r="BL9" s="84"/>
      <c r="BM9" s="84"/>
      <c r="BN9" s="84"/>
      <c r="BO9" s="84"/>
      <c r="BP9" s="84"/>
      <c r="BQ9" s="84"/>
      <c r="BR9" s="84"/>
      <c r="BS9" s="84"/>
      <c r="BT9" s="84"/>
    </row>
    <row r="10" spans="1:72" ht="15.75" thickBot="1">
      <c r="A10" s="80">
        <v>3</v>
      </c>
      <c r="B10" s="143">
        <v>6</v>
      </c>
      <c r="C10" s="142">
        <v>86</v>
      </c>
      <c r="D10" s="144">
        <f t="shared" si="0"/>
        <v>6.9767441860465115E-2</v>
      </c>
      <c r="E10" s="149">
        <f t="shared" si="1"/>
        <v>3.0292933959826442E-2</v>
      </c>
      <c r="F10" s="145">
        <f t="shared" si="2"/>
        <v>6.9767441860465115E-2</v>
      </c>
      <c r="G10" s="145">
        <f t="shared" ref="G10:G72" si="6">IF(B10="","",SUM($B$8:$B$116)/SUM($C$8:$C$116))</f>
        <v>7.8918918918918918E-2</v>
      </c>
      <c r="H10" s="146">
        <f t="shared" si="3"/>
        <v>0.16979772079839825</v>
      </c>
      <c r="I10" s="148">
        <f t="shared" si="4"/>
        <v>0</v>
      </c>
      <c r="J10" s="147">
        <f t="shared" si="5"/>
        <v>-1.1959882960560414E-2</v>
      </c>
      <c r="K10" s="84"/>
      <c r="L10" s="64"/>
      <c r="M10" s="4"/>
      <c r="N10" s="4"/>
      <c r="O10" s="4"/>
      <c r="P10" s="63" t="s">
        <v>38</v>
      </c>
      <c r="Q10" s="63">
        <f>COUNTIF(F8:F115,"&lt;"&amp;$G$9)</f>
        <v>16</v>
      </c>
      <c r="R10" s="65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57"/>
      <c r="AP10" s="57"/>
      <c r="AQ10" s="57"/>
      <c r="AR10" s="57"/>
      <c r="AS10" s="98"/>
      <c r="AT10" s="98"/>
      <c r="AU10" s="98"/>
      <c r="AV10" s="98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</row>
    <row r="11" spans="1:72" ht="15.75" thickBot="1">
      <c r="A11" s="80">
        <v>4</v>
      </c>
      <c r="B11" s="143">
        <v>13</v>
      </c>
      <c r="C11" s="142">
        <v>95</v>
      </c>
      <c r="D11" s="144">
        <f t="shared" si="0"/>
        <v>0.1368421052631579</v>
      </c>
      <c r="E11" s="149">
        <f t="shared" si="1"/>
        <v>2.882230841387292E-2</v>
      </c>
      <c r="F11" s="145">
        <f t="shared" si="2"/>
        <v>0.1368421052631579</v>
      </c>
      <c r="G11" s="145">
        <f t="shared" si="6"/>
        <v>7.8918918918918918E-2</v>
      </c>
      <c r="H11" s="146">
        <f t="shared" si="3"/>
        <v>0.16538584416053767</v>
      </c>
      <c r="I11" s="148">
        <f t="shared" si="4"/>
        <v>0</v>
      </c>
      <c r="J11" s="147">
        <f t="shared" si="5"/>
        <v>-7.5480063226998351E-3</v>
      </c>
      <c r="K11" s="84"/>
      <c r="L11" s="64"/>
      <c r="M11" s="4"/>
      <c r="N11" s="4"/>
      <c r="O11" s="4"/>
      <c r="P11" s="4"/>
      <c r="Q11" s="4"/>
      <c r="R11" s="65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57"/>
      <c r="AP11" s="57"/>
      <c r="AQ11" s="57"/>
      <c r="AR11" s="57"/>
      <c r="AS11" s="98"/>
      <c r="AT11" s="98"/>
      <c r="AU11" s="98"/>
      <c r="AV11" s="98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</row>
    <row r="12" spans="1:72" ht="15.75" thickBot="1">
      <c r="A12" s="80">
        <v>5</v>
      </c>
      <c r="B12" s="143">
        <v>5</v>
      </c>
      <c r="C12" s="142">
        <v>123</v>
      </c>
      <c r="D12" s="144">
        <f t="shared" si="0"/>
        <v>4.065040650406504E-2</v>
      </c>
      <c r="E12" s="149">
        <f t="shared" si="1"/>
        <v>2.5330164369444595E-2</v>
      </c>
      <c r="F12" s="145">
        <f t="shared" si="2"/>
        <v>4.065040650406504E-2</v>
      </c>
      <c r="G12" s="145">
        <f t="shared" si="6"/>
        <v>7.8918918918918918E-2</v>
      </c>
      <c r="H12" s="146">
        <f t="shared" si="3"/>
        <v>0.1549094120272527</v>
      </c>
      <c r="I12" s="148">
        <f t="shared" si="4"/>
        <v>2.9284258105851391E-3</v>
      </c>
      <c r="J12" s="147">
        <f t="shared" si="5"/>
        <v>2.9284258105851391E-3</v>
      </c>
      <c r="K12" s="84"/>
      <c r="L12" s="64"/>
      <c r="M12" s="4"/>
      <c r="N12" s="4"/>
      <c r="O12" s="4"/>
      <c r="P12" s="88" t="s">
        <v>42</v>
      </c>
      <c r="Q12" s="89">
        <f>SUM(Q9:Q10)</f>
        <v>30</v>
      </c>
      <c r="R12" s="65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57"/>
      <c r="AP12" s="57"/>
      <c r="AQ12" s="57"/>
      <c r="AR12" s="57"/>
      <c r="AS12" s="98"/>
      <c r="AT12" s="98"/>
      <c r="AU12" s="98"/>
      <c r="AV12" s="98"/>
      <c r="AW12" s="84"/>
      <c r="AX12" s="84"/>
      <c r="AY12" s="84"/>
      <c r="AZ12" s="84"/>
      <c r="BA12" s="84"/>
      <c r="BB12" s="84"/>
      <c r="BC12" s="84"/>
      <c r="BD12" s="84"/>
      <c r="BE12" s="84"/>
      <c r="BF12" s="84"/>
      <c r="BG12" s="84"/>
      <c r="BH12" s="84"/>
      <c r="BI12" s="84"/>
      <c r="BJ12" s="84"/>
      <c r="BK12" s="84"/>
      <c r="BL12" s="84"/>
      <c r="BM12" s="84"/>
      <c r="BN12" s="84"/>
      <c r="BO12" s="84"/>
      <c r="BP12" s="84"/>
      <c r="BQ12" s="84"/>
      <c r="BR12" s="84"/>
      <c r="BS12" s="84"/>
      <c r="BT12" s="84"/>
    </row>
    <row r="13" spans="1:72" ht="15.75" thickBot="1">
      <c r="A13" s="80">
        <v>6</v>
      </c>
      <c r="B13" s="143">
        <v>5</v>
      </c>
      <c r="C13" s="142">
        <v>87</v>
      </c>
      <c r="D13" s="144">
        <f t="shared" si="0"/>
        <v>5.7471264367816091E-2</v>
      </c>
      <c r="E13" s="149">
        <f t="shared" si="1"/>
        <v>3.0118333462565393E-2</v>
      </c>
      <c r="F13" s="145">
        <f t="shared" si="2"/>
        <v>5.7471264367816091E-2</v>
      </c>
      <c r="G13" s="145">
        <f t="shared" si="6"/>
        <v>7.8918918918918918E-2</v>
      </c>
      <c r="H13" s="146">
        <f t="shared" si="3"/>
        <v>0.16927391930661509</v>
      </c>
      <c r="I13" s="148">
        <f t="shared" si="4"/>
        <v>0</v>
      </c>
      <c r="J13" s="147">
        <f t="shared" si="5"/>
        <v>-1.1436081468777254E-2</v>
      </c>
      <c r="K13" s="84"/>
      <c r="L13" s="64"/>
      <c r="M13" s="4"/>
      <c r="N13" s="4"/>
      <c r="O13" s="4"/>
      <c r="P13" s="4"/>
      <c r="Q13" s="4"/>
      <c r="R13" s="65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  <c r="AO13" s="57"/>
      <c r="AP13" s="57"/>
      <c r="AQ13" s="57"/>
      <c r="AR13" s="57"/>
      <c r="AS13" s="98"/>
      <c r="AT13" s="98"/>
      <c r="AU13" s="98"/>
      <c r="AV13" s="98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  <c r="BP13" s="84"/>
      <c r="BQ13" s="84"/>
      <c r="BR13" s="84"/>
      <c r="BS13" s="84"/>
      <c r="BT13" s="84"/>
    </row>
    <row r="14" spans="1:72" ht="15.75" thickBot="1">
      <c r="A14" s="80">
        <v>7</v>
      </c>
      <c r="B14" s="143">
        <v>3</v>
      </c>
      <c r="C14" s="142">
        <v>74</v>
      </c>
      <c r="D14" s="144">
        <f t="shared" si="0"/>
        <v>4.0540540540540543E-2</v>
      </c>
      <c r="E14" s="149">
        <f t="shared" si="1"/>
        <v>3.2656881009715061E-2</v>
      </c>
      <c r="F14" s="145">
        <f t="shared" si="2"/>
        <v>4.0540540540540543E-2</v>
      </c>
      <c r="G14" s="145">
        <f t="shared" si="6"/>
        <v>7.8918918918918918E-2</v>
      </c>
      <c r="H14" s="146">
        <f t="shared" si="3"/>
        <v>0.1768895619480641</v>
      </c>
      <c r="I14" s="148">
        <f t="shared" si="4"/>
        <v>0</v>
      </c>
      <c r="J14" s="147">
        <f t="shared" si="5"/>
        <v>-1.9051724110226265E-2</v>
      </c>
      <c r="K14" s="84"/>
      <c r="L14" s="64"/>
      <c r="M14" s="4"/>
      <c r="N14" s="4"/>
      <c r="O14" s="4"/>
      <c r="P14" s="4"/>
      <c r="Q14" s="4"/>
      <c r="R14" s="65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  <c r="AO14" s="57"/>
      <c r="AP14" s="57"/>
      <c r="AQ14" s="57"/>
      <c r="AR14" s="57"/>
      <c r="AS14" s="98"/>
      <c r="AT14" s="98"/>
      <c r="AU14" s="98"/>
      <c r="AV14" s="98"/>
      <c r="AW14" s="84"/>
      <c r="AX14" s="84"/>
      <c r="AY14" s="84"/>
      <c r="AZ14" s="84"/>
      <c r="BA14" s="84"/>
      <c r="BB14" s="84"/>
      <c r="BC14" s="84"/>
      <c r="BD14" s="84"/>
      <c r="BE14" s="84"/>
      <c r="BF14" s="84"/>
      <c r="BG14" s="84"/>
      <c r="BH14" s="84"/>
      <c r="BI14" s="84"/>
      <c r="BJ14" s="84"/>
      <c r="BK14" s="84"/>
      <c r="BL14" s="84"/>
      <c r="BM14" s="84"/>
      <c r="BN14" s="84"/>
      <c r="BO14" s="84"/>
      <c r="BP14" s="84"/>
      <c r="BQ14" s="84"/>
      <c r="BR14" s="84"/>
      <c r="BS14" s="84"/>
      <c r="BT14" s="84"/>
    </row>
    <row r="15" spans="1:72" ht="15.75" thickBot="1">
      <c r="A15" s="80">
        <v>8</v>
      </c>
      <c r="B15" s="143">
        <v>8</v>
      </c>
      <c r="C15" s="142">
        <v>83</v>
      </c>
      <c r="D15" s="144">
        <f t="shared" si="0"/>
        <v>9.6385542168674704E-2</v>
      </c>
      <c r="E15" s="149">
        <f t="shared" si="1"/>
        <v>3.0835537102841419E-2</v>
      </c>
      <c r="F15" s="145">
        <f t="shared" si="2"/>
        <v>9.6385542168674704E-2</v>
      </c>
      <c r="G15" s="145">
        <f t="shared" si="6"/>
        <v>7.8918918918918918E-2</v>
      </c>
      <c r="H15" s="146">
        <f t="shared" si="3"/>
        <v>0.17142553022744317</v>
      </c>
      <c r="I15" s="148">
        <f t="shared" si="4"/>
        <v>0</v>
      </c>
      <c r="J15" s="147">
        <f t="shared" si="5"/>
        <v>-1.3587692389605333E-2</v>
      </c>
      <c r="K15" s="84"/>
      <c r="L15" s="64"/>
      <c r="M15" s="4"/>
      <c r="N15" s="4"/>
      <c r="O15" s="4"/>
      <c r="P15" s="4"/>
      <c r="Q15" s="4"/>
      <c r="R15" s="65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4"/>
      <c r="AJ15" s="84"/>
      <c r="AK15" s="84"/>
      <c r="AL15" s="84"/>
      <c r="AM15" s="84"/>
      <c r="AN15" s="84"/>
      <c r="AO15" s="57"/>
      <c r="AP15" s="57"/>
      <c r="AQ15" s="57"/>
      <c r="AR15" s="57"/>
      <c r="AS15" s="98"/>
      <c r="AT15" s="98"/>
      <c r="AU15" s="98"/>
      <c r="AV15" s="98"/>
      <c r="AW15" s="84"/>
      <c r="AX15" s="84"/>
      <c r="AY15" s="84"/>
      <c r="AZ15" s="84"/>
      <c r="BA15" s="84"/>
      <c r="BB15" s="84"/>
      <c r="BC15" s="84"/>
      <c r="BD15" s="84"/>
      <c r="BE15" s="84"/>
      <c r="BF15" s="84"/>
      <c r="BG15" s="84"/>
      <c r="BH15" s="84"/>
      <c r="BI15" s="84"/>
      <c r="BJ15" s="84"/>
      <c r="BK15" s="84"/>
      <c r="BL15" s="84"/>
      <c r="BM15" s="84"/>
      <c r="BN15" s="84"/>
      <c r="BO15" s="84"/>
      <c r="BP15" s="84"/>
      <c r="BQ15" s="84"/>
      <c r="BR15" s="84"/>
      <c r="BS15" s="84"/>
      <c r="BT15" s="84"/>
    </row>
    <row r="16" spans="1:72" ht="15.75" thickBot="1">
      <c r="A16" s="80">
        <v>9</v>
      </c>
      <c r="B16" s="143">
        <v>4</v>
      </c>
      <c r="C16" s="142">
        <v>103</v>
      </c>
      <c r="D16" s="144">
        <f t="shared" si="0"/>
        <v>3.8834951456310676E-2</v>
      </c>
      <c r="E16" s="149">
        <f t="shared" si="1"/>
        <v>2.7680373846828435E-2</v>
      </c>
      <c r="F16" s="145">
        <f t="shared" si="2"/>
        <v>3.8834951456310676E-2</v>
      </c>
      <c r="G16" s="145">
        <f t="shared" si="6"/>
        <v>7.8918918918918918E-2</v>
      </c>
      <c r="H16" s="146">
        <f t="shared" si="3"/>
        <v>0.16196004045940421</v>
      </c>
      <c r="I16" s="148">
        <f t="shared" si="4"/>
        <v>0</v>
      </c>
      <c r="J16" s="147">
        <f t="shared" si="5"/>
        <v>-4.1222026215663871E-3</v>
      </c>
      <c r="K16" s="84"/>
      <c r="L16" s="64"/>
      <c r="M16" s="4"/>
      <c r="N16" s="4"/>
      <c r="O16" s="4"/>
      <c r="P16" s="4"/>
      <c r="Q16" s="4"/>
      <c r="R16" s="65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57"/>
      <c r="AP16" s="57"/>
      <c r="AQ16" s="57"/>
      <c r="AR16" s="57"/>
      <c r="AS16" s="98"/>
      <c r="AT16" s="98"/>
      <c r="AU16" s="98"/>
      <c r="AV16" s="98"/>
      <c r="AW16" s="84"/>
      <c r="AX16" s="84"/>
      <c r="AY16" s="84"/>
      <c r="AZ16" s="84"/>
      <c r="BA16" s="84"/>
      <c r="BB16" s="84"/>
      <c r="BC16" s="84"/>
      <c r="BD16" s="84"/>
      <c r="BE16" s="84"/>
      <c r="BF16" s="84"/>
      <c r="BG16" s="84"/>
      <c r="BH16" s="84"/>
      <c r="BI16" s="84"/>
      <c r="BJ16" s="84"/>
      <c r="BK16" s="84"/>
      <c r="BL16" s="84"/>
      <c r="BM16" s="84"/>
      <c r="BN16" s="84"/>
      <c r="BO16" s="84"/>
      <c r="BP16" s="84"/>
      <c r="BQ16" s="84"/>
      <c r="BR16" s="84"/>
      <c r="BS16" s="84"/>
      <c r="BT16" s="84"/>
    </row>
    <row r="17" spans="1:72" ht="15.75" thickBot="1">
      <c r="A17" s="80">
        <v>10</v>
      </c>
      <c r="B17" s="143">
        <v>6</v>
      </c>
      <c r="C17" s="142">
        <v>60</v>
      </c>
      <c r="D17" s="144">
        <f t="shared" si="0"/>
        <v>0.1</v>
      </c>
      <c r="E17" s="149">
        <f t="shared" si="1"/>
        <v>3.6267276094508603E-2</v>
      </c>
      <c r="F17" s="145">
        <f t="shared" si="2"/>
        <v>0.1</v>
      </c>
      <c r="G17" s="145">
        <f t="shared" si="6"/>
        <v>7.8918918918918918E-2</v>
      </c>
      <c r="H17" s="146">
        <f t="shared" si="3"/>
        <v>0.18772074720244472</v>
      </c>
      <c r="I17" s="148">
        <f t="shared" si="4"/>
        <v>0</v>
      </c>
      <c r="J17" s="147">
        <f t="shared" si="5"/>
        <v>-2.9882909364606886E-2</v>
      </c>
      <c r="K17" s="84"/>
      <c r="L17" s="64"/>
      <c r="M17" s="4"/>
      <c r="N17" s="4"/>
      <c r="O17" s="4"/>
      <c r="P17" s="4"/>
      <c r="Q17" s="4"/>
      <c r="R17" s="65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  <c r="AO17" s="57"/>
      <c r="AP17" s="57"/>
      <c r="AQ17" s="57"/>
      <c r="AR17" s="57"/>
      <c r="AS17" s="98"/>
      <c r="AT17" s="98"/>
      <c r="AU17" s="98"/>
      <c r="AV17" s="98"/>
      <c r="AW17" s="84"/>
      <c r="AX17" s="84"/>
      <c r="AY17" s="84"/>
      <c r="AZ17" s="84"/>
      <c r="BA17" s="84"/>
      <c r="BB17" s="84"/>
      <c r="BC17" s="84"/>
      <c r="BD17" s="84"/>
      <c r="BE17" s="84"/>
      <c r="BF17" s="84"/>
      <c r="BG17" s="84"/>
      <c r="BH17" s="84"/>
      <c r="BI17" s="84"/>
      <c r="BJ17" s="84"/>
      <c r="BK17" s="84"/>
      <c r="BL17" s="84"/>
      <c r="BM17" s="84"/>
      <c r="BN17" s="84"/>
      <c r="BO17" s="84"/>
      <c r="BP17" s="84"/>
      <c r="BQ17" s="84"/>
      <c r="BR17" s="84"/>
      <c r="BS17" s="84"/>
      <c r="BT17" s="84"/>
    </row>
    <row r="18" spans="1:72" ht="15.75" thickBot="1">
      <c r="A18" s="80">
        <v>11</v>
      </c>
      <c r="B18" s="143">
        <v>7</v>
      </c>
      <c r="C18" s="142">
        <v>136</v>
      </c>
      <c r="D18" s="144">
        <f t="shared" si="0"/>
        <v>5.1470588235294115E-2</v>
      </c>
      <c r="E18" s="149">
        <f t="shared" si="1"/>
        <v>2.4089129675466954E-2</v>
      </c>
      <c r="F18" s="145">
        <f t="shared" si="2"/>
        <v>5.1470588235294115E-2</v>
      </c>
      <c r="G18" s="145">
        <f t="shared" si="6"/>
        <v>7.8918918918918918E-2</v>
      </c>
      <c r="H18" s="146">
        <f t="shared" si="3"/>
        <v>0.15118630794531979</v>
      </c>
      <c r="I18" s="148">
        <f t="shared" si="4"/>
        <v>6.6515298925180488E-3</v>
      </c>
      <c r="J18" s="147">
        <f t="shared" si="5"/>
        <v>6.6515298925180488E-3</v>
      </c>
      <c r="K18" s="84"/>
      <c r="L18" s="64"/>
      <c r="M18" s="4"/>
      <c r="N18" s="4"/>
      <c r="O18" s="4"/>
      <c r="P18" s="4"/>
      <c r="Q18" s="4"/>
      <c r="R18" s="65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  <c r="AN18" s="84"/>
      <c r="AO18" s="57"/>
      <c r="AP18" s="57"/>
      <c r="AQ18" s="57"/>
      <c r="AR18" s="57"/>
      <c r="AS18" s="98"/>
      <c r="AT18" s="98"/>
      <c r="AU18" s="98"/>
      <c r="AV18" s="98"/>
      <c r="AW18" s="84"/>
      <c r="AX18" s="84"/>
      <c r="AY18" s="84"/>
      <c r="AZ18" s="84"/>
      <c r="BA18" s="84"/>
      <c r="BB18" s="84"/>
      <c r="BC18" s="84"/>
      <c r="BD18" s="84"/>
      <c r="BE18" s="84"/>
      <c r="BF18" s="84"/>
      <c r="BG18" s="84"/>
      <c r="BH18" s="84"/>
      <c r="BI18" s="84"/>
      <c r="BJ18" s="84"/>
      <c r="BK18" s="84"/>
      <c r="BL18" s="84"/>
      <c r="BM18" s="84"/>
      <c r="BN18" s="84"/>
      <c r="BO18" s="84"/>
      <c r="BP18" s="84"/>
      <c r="BQ18" s="84"/>
      <c r="BR18" s="84"/>
      <c r="BS18" s="84"/>
      <c r="BT18" s="84"/>
    </row>
    <row r="19" spans="1:72" ht="15.75" thickBot="1">
      <c r="A19" s="80">
        <v>12</v>
      </c>
      <c r="B19" s="143">
        <v>4</v>
      </c>
      <c r="C19" s="142">
        <v>80</v>
      </c>
      <c r="D19" s="144">
        <f t="shared" si="0"/>
        <v>0.05</v>
      </c>
      <c r="E19" s="149">
        <f t="shared" si="1"/>
        <v>3.1408382423908532E-2</v>
      </c>
      <c r="F19" s="145">
        <f t="shared" si="2"/>
        <v>0.05</v>
      </c>
      <c r="G19" s="145">
        <f t="shared" si="6"/>
        <v>7.8918918918918918E-2</v>
      </c>
      <c r="H19" s="146">
        <f t="shared" si="3"/>
        <v>0.17314406619064451</v>
      </c>
      <c r="I19" s="148">
        <f t="shared" si="4"/>
        <v>0</v>
      </c>
      <c r="J19" s="147">
        <f t="shared" si="5"/>
        <v>-1.5306228352806678E-2</v>
      </c>
      <c r="K19" s="84"/>
      <c r="L19" s="64"/>
      <c r="M19" s="4"/>
      <c r="N19" s="4"/>
      <c r="O19" s="4"/>
      <c r="P19" s="4"/>
      <c r="Q19" s="4"/>
      <c r="R19" s="65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57"/>
      <c r="AP19" s="57"/>
      <c r="AQ19" s="57"/>
      <c r="AR19" s="57"/>
      <c r="AS19" s="98"/>
      <c r="AT19" s="98"/>
      <c r="AU19" s="98"/>
      <c r="AV19" s="98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84"/>
      <c r="BS19" s="84"/>
      <c r="BT19" s="84"/>
    </row>
    <row r="20" spans="1:72" ht="15.75" thickBot="1">
      <c r="A20" s="80">
        <v>13</v>
      </c>
      <c r="B20" s="143">
        <v>12</v>
      </c>
      <c r="C20" s="142">
        <v>70</v>
      </c>
      <c r="D20" s="144">
        <f t="shared" si="0"/>
        <v>0.17142857142857143</v>
      </c>
      <c r="E20" s="149">
        <f t="shared" si="1"/>
        <v>3.3576973172296624E-2</v>
      </c>
      <c r="F20" s="145">
        <f t="shared" si="2"/>
        <v>0.17142857142857143</v>
      </c>
      <c r="G20" s="145">
        <f t="shared" si="6"/>
        <v>7.8918918918918918E-2</v>
      </c>
      <c r="H20" s="146">
        <f t="shared" si="3"/>
        <v>0.17964983843580878</v>
      </c>
      <c r="I20" s="148">
        <f t="shared" si="4"/>
        <v>0</v>
      </c>
      <c r="J20" s="147">
        <f t="shared" si="5"/>
        <v>-2.1812000597970949E-2</v>
      </c>
      <c r="K20" s="84"/>
      <c r="L20" s="64"/>
      <c r="M20" s="4"/>
      <c r="N20" s="4"/>
      <c r="O20" s="4"/>
      <c r="P20" s="4"/>
      <c r="Q20" s="4"/>
      <c r="R20" s="65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57"/>
      <c r="AP20" s="57"/>
      <c r="AQ20" s="57"/>
      <c r="AR20" s="57"/>
      <c r="AS20" s="98"/>
      <c r="AT20" s="98"/>
      <c r="AU20" s="98"/>
      <c r="AV20" s="98"/>
      <c r="AW20" s="84"/>
      <c r="AX20" s="84"/>
      <c r="AY20" s="84"/>
      <c r="AZ20" s="84"/>
      <c r="BA20" s="84"/>
      <c r="BB20" s="84"/>
      <c r="BC20" s="84"/>
      <c r="BD20" s="84"/>
      <c r="BE20" s="84"/>
      <c r="BF20" s="84"/>
      <c r="BG20" s="84"/>
      <c r="BH20" s="84"/>
      <c r="BI20" s="84"/>
      <c r="BJ20" s="84"/>
      <c r="BK20" s="84"/>
      <c r="BL20" s="84"/>
      <c r="BM20" s="84"/>
      <c r="BN20" s="84"/>
      <c r="BO20" s="84"/>
      <c r="BP20" s="84"/>
      <c r="BQ20" s="84"/>
      <c r="BR20" s="84"/>
      <c r="BS20" s="84"/>
      <c r="BT20" s="84"/>
    </row>
    <row r="21" spans="1:72" ht="15.75" thickBot="1">
      <c r="A21" s="80">
        <v>14</v>
      </c>
      <c r="B21" s="143">
        <v>11</v>
      </c>
      <c r="C21" s="142">
        <v>73</v>
      </c>
      <c r="D21" s="144">
        <f t="shared" si="0"/>
        <v>0.15068493150684931</v>
      </c>
      <c r="E21" s="149">
        <f t="shared" si="1"/>
        <v>3.2879797461071461E-2</v>
      </c>
      <c r="F21" s="145">
        <f t="shared" si="2"/>
        <v>0.15068493150684931</v>
      </c>
      <c r="G21" s="145">
        <f t="shared" si="6"/>
        <v>7.8918918918918918E-2</v>
      </c>
      <c r="H21" s="146">
        <f t="shared" si="3"/>
        <v>0.17755831130213329</v>
      </c>
      <c r="I21" s="148">
        <f t="shared" si="4"/>
        <v>0</v>
      </c>
      <c r="J21" s="147">
        <f t="shared" si="5"/>
        <v>-1.9720473464295465E-2</v>
      </c>
      <c r="K21" s="84"/>
      <c r="L21" s="64"/>
      <c r="M21" s="4"/>
      <c r="N21" s="4"/>
      <c r="O21" s="4"/>
      <c r="P21" s="4"/>
      <c r="Q21" s="4"/>
      <c r="R21" s="65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  <c r="AO21" s="57"/>
      <c r="AP21" s="57"/>
      <c r="AQ21" s="57"/>
      <c r="AR21" s="57"/>
      <c r="AS21" s="98"/>
      <c r="AT21" s="98"/>
      <c r="AU21" s="98"/>
      <c r="AV21" s="98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  <c r="BQ21" s="84"/>
      <c r="BR21" s="84"/>
      <c r="BS21" s="84"/>
      <c r="BT21" s="84"/>
    </row>
    <row r="22" spans="1:72" ht="15.75" thickBot="1">
      <c r="A22" s="80">
        <v>15</v>
      </c>
      <c r="B22" s="143">
        <v>13</v>
      </c>
      <c r="C22" s="142">
        <v>89</v>
      </c>
      <c r="D22" s="144">
        <f t="shared" si="0"/>
        <v>0.14606741573033707</v>
      </c>
      <c r="E22" s="149">
        <f t="shared" si="1"/>
        <v>2.9778002385238481E-2</v>
      </c>
      <c r="F22" s="145">
        <f t="shared" si="2"/>
        <v>0.14606741573033707</v>
      </c>
      <c r="G22" s="145">
        <f t="shared" si="6"/>
        <v>7.8918918918918918E-2</v>
      </c>
      <c r="H22" s="146">
        <f t="shared" si="3"/>
        <v>0.16825292607463438</v>
      </c>
      <c r="I22" s="148">
        <f t="shared" si="4"/>
        <v>0</v>
      </c>
      <c r="J22" s="147">
        <f t="shared" si="5"/>
        <v>-1.041508823679653E-2</v>
      </c>
      <c r="K22" s="84"/>
      <c r="L22" s="64"/>
      <c r="M22" s="4"/>
      <c r="N22" s="4"/>
      <c r="O22" s="4"/>
      <c r="P22" s="4"/>
      <c r="Q22" s="4"/>
      <c r="R22" s="65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  <c r="AM22" s="84"/>
      <c r="AN22" s="84"/>
      <c r="AO22" s="57"/>
      <c r="AP22" s="57"/>
      <c r="AQ22" s="57"/>
      <c r="AR22" s="57"/>
      <c r="AS22" s="98"/>
      <c r="AT22" s="98"/>
      <c r="AU22" s="98"/>
      <c r="AV22" s="98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4"/>
      <c r="BQ22" s="84"/>
      <c r="BR22" s="84"/>
      <c r="BS22" s="84"/>
      <c r="BT22" s="84"/>
    </row>
    <row r="23" spans="1:72" ht="15.75" thickBot="1">
      <c r="A23" s="80">
        <v>16</v>
      </c>
      <c r="B23" s="143">
        <v>6</v>
      </c>
      <c r="C23" s="142">
        <v>129</v>
      </c>
      <c r="D23" s="144">
        <f t="shared" si="0"/>
        <v>4.6511627906976744E-2</v>
      </c>
      <c r="E23" s="149">
        <f t="shared" si="1"/>
        <v>2.4734077004467687E-2</v>
      </c>
      <c r="F23" s="145">
        <f t="shared" si="2"/>
        <v>4.6511627906976744E-2</v>
      </c>
      <c r="G23" s="145">
        <f t="shared" si="6"/>
        <v>7.8918918918918918E-2</v>
      </c>
      <c r="H23" s="146">
        <f t="shared" si="3"/>
        <v>0.15312114993232198</v>
      </c>
      <c r="I23" s="148">
        <f t="shared" si="4"/>
        <v>4.7166879055158539E-3</v>
      </c>
      <c r="J23" s="147">
        <f t="shared" si="5"/>
        <v>4.7166879055158539E-3</v>
      </c>
      <c r="K23" s="84"/>
      <c r="L23" s="64"/>
      <c r="M23" s="4"/>
      <c r="N23" s="4"/>
      <c r="O23" s="4"/>
      <c r="P23" s="4"/>
      <c r="Q23" s="4"/>
      <c r="R23" s="65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4"/>
      <c r="AJ23" s="84"/>
      <c r="AK23" s="84"/>
      <c r="AL23" s="84"/>
      <c r="AM23" s="84"/>
      <c r="AN23" s="84"/>
      <c r="AO23" s="57"/>
      <c r="AP23" s="57"/>
      <c r="AQ23" s="57"/>
      <c r="AR23" s="57"/>
      <c r="AS23" s="98"/>
      <c r="AT23" s="98"/>
      <c r="AU23" s="98"/>
      <c r="AV23" s="98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  <c r="BN23" s="84"/>
      <c r="BO23" s="84"/>
      <c r="BP23" s="84"/>
      <c r="BQ23" s="84"/>
      <c r="BR23" s="84"/>
      <c r="BS23" s="84"/>
      <c r="BT23" s="84"/>
    </row>
    <row r="24" spans="1:72" ht="15.75" thickBot="1">
      <c r="A24" s="80">
        <v>17</v>
      </c>
      <c r="B24" s="143">
        <v>6</v>
      </c>
      <c r="C24" s="142">
        <v>78</v>
      </c>
      <c r="D24" s="144">
        <f t="shared" si="0"/>
        <v>7.6923076923076927E-2</v>
      </c>
      <c r="E24" s="149">
        <f t="shared" si="1"/>
        <v>3.1808505337110889E-2</v>
      </c>
      <c r="F24" s="145">
        <f t="shared" si="2"/>
        <v>7.6923076923076927E-2</v>
      </c>
      <c r="G24" s="145">
        <f t="shared" si="6"/>
        <v>7.8918918918918918E-2</v>
      </c>
      <c r="H24" s="146">
        <f t="shared" si="3"/>
        <v>0.17434443493025159</v>
      </c>
      <c r="I24" s="148">
        <f t="shared" si="4"/>
        <v>0</v>
      </c>
      <c r="J24" s="147">
        <f t="shared" si="5"/>
        <v>-1.6506597092413755E-2</v>
      </c>
      <c r="K24" s="84"/>
      <c r="L24" s="64"/>
      <c r="M24" s="4"/>
      <c r="N24" s="4"/>
      <c r="O24" s="4"/>
      <c r="P24" s="4"/>
      <c r="Q24" s="4"/>
      <c r="R24" s="65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  <c r="AL24" s="84"/>
      <c r="AM24" s="84"/>
      <c r="AN24" s="84"/>
      <c r="AO24" s="57"/>
      <c r="AP24" s="57"/>
      <c r="AQ24" s="57"/>
      <c r="AR24" s="57"/>
      <c r="AS24" s="98"/>
      <c r="AT24" s="98"/>
      <c r="AU24" s="98"/>
      <c r="AV24" s="98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  <c r="BN24" s="84"/>
      <c r="BO24" s="84"/>
      <c r="BP24" s="84"/>
      <c r="BQ24" s="84"/>
      <c r="BR24" s="84"/>
      <c r="BS24" s="84"/>
      <c r="BT24" s="84"/>
    </row>
    <row r="25" spans="1:72" ht="15.75" thickBot="1">
      <c r="A25" s="80">
        <v>18</v>
      </c>
      <c r="B25" s="143">
        <v>3</v>
      </c>
      <c r="C25" s="142">
        <v>88</v>
      </c>
      <c r="D25" s="144">
        <f t="shared" si="0"/>
        <v>3.4090909090909088E-2</v>
      </c>
      <c r="E25" s="149">
        <f t="shared" si="1"/>
        <v>2.9946717629915583E-2</v>
      </c>
      <c r="F25" s="145">
        <f t="shared" si="2"/>
        <v>3.4090909090909088E-2</v>
      </c>
      <c r="G25" s="145">
        <f t="shared" si="6"/>
        <v>7.8918918918918918E-2</v>
      </c>
      <c r="H25" s="146">
        <f t="shared" si="3"/>
        <v>0.16875907180866567</v>
      </c>
      <c r="I25" s="148">
        <f t="shared" si="4"/>
        <v>0</v>
      </c>
      <c r="J25" s="147">
        <f t="shared" si="5"/>
        <v>-1.0921233970827837E-2</v>
      </c>
      <c r="K25" s="84"/>
      <c r="L25" s="64"/>
      <c r="M25" s="4"/>
      <c r="N25" s="4"/>
      <c r="O25" s="4"/>
      <c r="P25" s="4"/>
      <c r="Q25" s="4"/>
      <c r="R25" s="65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  <c r="AN25" s="84"/>
      <c r="AO25" s="57"/>
      <c r="AP25" s="57"/>
      <c r="AQ25" s="57"/>
      <c r="AR25" s="57"/>
      <c r="AS25" s="98"/>
      <c r="AT25" s="98"/>
      <c r="AU25" s="98"/>
      <c r="AV25" s="98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  <c r="BP25" s="84"/>
      <c r="BQ25" s="84"/>
      <c r="BR25" s="84"/>
      <c r="BS25" s="84"/>
      <c r="BT25" s="84"/>
    </row>
    <row r="26" spans="1:72" ht="15.75" thickBot="1">
      <c r="A26" s="80">
        <v>19</v>
      </c>
      <c r="B26" s="143">
        <v>8</v>
      </c>
      <c r="C26" s="142">
        <v>76</v>
      </c>
      <c r="D26" s="144">
        <f t="shared" si="0"/>
        <v>0.10526315789473684</v>
      </c>
      <c r="E26" s="149">
        <f t="shared" si="1"/>
        <v>3.2224320440941999E-2</v>
      </c>
      <c r="F26" s="145">
        <f t="shared" si="2"/>
        <v>0.10526315789473684</v>
      </c>
      <c r="G26" s="145">
        <f t="shared" si="6"/>
        <v>7.8918918918918918E-2</v>
      </c>
      <c r="H26" s="146">
        <f t="shared" si="3"/>
        <v>0.17559188024174491</v>
      </c>
      <c r="I26" s="148">
        <f t="shared" si="4"/>
        <v>0</v>
      </c>
      <c r="J26" s="147">
        <f t="shared" si="5"/>
        <v>-1.7754042403907072E-2</v>
      </c>
      <c r="K26" s="84"/>
      <c r="L26" s="64"/>
      <c r="M26" s="4"/>
      <c r="N26" s="4"/>
      <c r="O26" s="4"/>
      <c r="P26" s="4"/>
      <c r="Q26" s="4"/>
      <c r="R26" s="65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84"/>
      <c r="AN26" s="84"/>
      <c r="AO26" s="57"/>
      <c r="AP26" s="57"/>
      <c r="AQ26" s="57"/>
      <c r="AR26" s="57"/>
      <c r="AS26" s="98"/>
      <c r="AT26" s="98"/>
      <c r="AU26" s="98"/>
      <c r="AV26" s="98"/>
      <c r="AW26" s="84"/>
      <c r="AX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84"/>
      <c r="BS26" s="84"/>
      <c r="BT26" s="84"/>
    </row>
    <row r="27" spans="1:72" ht="15.75" thickBot="1">
      <c r="A27" s="80">
        <v>20</v>
      </c>
      <c r="B27" s="143">
        <v>9</v>
      </c>
      <c r="C27" s="142">
        <v>101</v>
      </c>
      <c r="D27" s="144">
        <f t="shared" si="0"/>
        <v>8.9108910891089105E-2</v>
      </c>
      <c r="E27" s="149">
        <f t="shared" si="1"/>
        <v>2.7953093475334378E-2</v>
      </c>
      <c r="F27" s="145">
        <f t="shared" si="2"/>
        <v>8.9108910891089105E-2</v>
      </c>
      <c r="G27" s="145">
        <f t="shared" si="6"/>
        <v>7.8918918918918918E-2</v>
      </c>
      <c r="H27" s="146">
        <f t="shared" si="3"/>
        <v>0.16277819934492205</v>
      </c>
      <c r="I27" s="148">
        <f t="shared" si="4"/>
        <v>0</v>
      </c>
      <c r="J27" s="147">
        <f t="shared" si="5"/>
        <v>-4.9403615070842122E-3</v>
      </c>
      <c r="K27" s="84"/>
      <c r="L27" s="64"/>
      <c r="M27" s="4"/>
      <c r="N27" s="4"/>
      <c r="O27" s="4"/>
      <c r="P27" s="4"/>
      <c r="Q27" s="4"/>
      <c r="R27" s="65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84"/>
      <c r="AN27" s="84"/>
      <c r="AO27" s="57"/>
      <c r="AP27" s="57"/>
      <c r="AQ27" s="57"/>
      <c r="AR27" s="57"/>
      <c r="AS27" s="98"/>
      <c r="AT27" s="98"/>
      <c r="AU27" s="98"/>
      <c r="AV27" s="98"/>
      <c r="AW27" s="84"/>
      <c r="AX27" s="84"/>
      <c r="AY27" s="84"/>
      <c r="AZ27" s="84"/>
      <c r="BA27" s="84"/>
      <c r="BB27" s="84"/>
      <c r="BC27" s="84"/>
      <c r="BD27" s="84"/>
      <c r="BE27" s="84"/>
      <c r="BF27" s="84"/>
      <c r="BG27" s="84"/>
      <c r="BH27" s="84"/>
      <c r="BI27" s="84"/>
      <c r="BJ27" s="84"/>
      <c r="BK27" s="84"/>
      <c r="BL27" s="84"/>
      <c r="BM27" s="84"/>
      <c r="BN27" s="84"/>
      <c r="BO27" s="84"/>
      <c r="BP27" s="84"/>
      <c r="BQ27" s="84"/>
      <c r="BR27" s="84"/>
      <c r="BS27" s="84"/>
      <c r="BT27" s="84"/>
    </row>
    <row r="28" spans="1:72" ht="15.75" thickBot="1">
      <c r="A28" s="80">
        <v>21</v>
      </c>
      <c r="B28" s="143">
        <v>8</v>
      </c>
      <c r="C28" s="142">
        <v>92</v>
      </c>
      <c r="D28" s="144">
        <f t="shared" si="0"/>
        <v>8.6956521739130432E-2</v>
      </c>
      <c r="E28" s="149">
        <f t="shared" si="1"/>
        <v>2.9288467629345269E-2</v>
      </c>
      <c r="F28" s="145">
        <f t="shared" si="2"/>
        <v>8.6956521739130432E-2</v>
      </c>
      <c r="G28" s="145">
        <f t="shared" si="6"/>
        <v>7.8918918918918918E-2</v>
      </c>
      <c r="H28" s="146">
        <f t="shared" si="3"/>
        <v>0.16678432180695474</v>
      </c>
      <c r="I28" s="148">
        <f t="shared" si="4"/>
        <v>0</v>
      </c>
      <c r="J28" s="147">
        <f t="shared" si="5"/>
        <v>-8.946483969116889E-3</v>
      </c>
      <c r="K28" s="84"/>
      <c r="L28" s="64"/>
      <c r="M28" s="4"/>
      <c r="N28" s="4"/>
      <c r="O28" s="4"/>
      <c r="P28" s="4"/>
      <c r="Q28" s="4"/>
      <c r="R28" s="65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4"/>
      <c r="AO28" s="57"/>
      <c r="AP28" s="57"/>
      <c r="AQ28" s="57"/>
      <c r="AR28" s="57"/>
      <c r="AS28" s="98"/>
      <c r="AT28" s="98"/>
      <c r="AU28" s="98"/>
      <c r="AV28" s="98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84"/>
      <c r="BS28" s="84"/>
      <c r="BT28" s="84"/>
    </row>
    <row r="29" spans="1:72" ht="15.75" thickBot="1">
      <c r="A29" s="80">
        <v>22</v>
      </c>
      <c r="B29" s="143">
        <v>2</v>
      </c>
      <c r="C29" s="142">
        <v>70</v>
      </c>
      <c r="D29" s="144">
        <f t="shared" si="0"/>
        <v>2.8571428571428571E-2</v>
      </c>
      <c r="E29" s="149">
        <f t="shared" si="1"/>
        <v>3.3576973172296624E-2</v>
      </c>
      <c r="F29" s="145">
        <f t="shared" si="2"/>
        <v>2.8571428571428571E-2</v>
      </c>
      <c r="G29" s="145">
        <f t="shared" si="6"/>
        <v>7.8918918918918918E-2</v>
      </c>
      <c r="H29" s="146">
        <f t="shared" si="3"/>
        <v>0.17964983843580878</v>
      </c>
      <c r="I29" s="148">
        <f t="shared" si="4"/>
        <v>0</v>
      </c>
      <c r="J29" s="147">
        <f t="shared" si="5"/>
        <v>-2.1812000597970949E-2</v>
      </c>
      <c r="K29" s="84"/>
      <c r="L29" s="64"/>
      <c r="M29" s="4"/>
      <c r="N29" s="4"/>
      <c r="O29" s="4"/>
      <c r="P29" s="4"/>
      <c r="Q29" s="4"/>
      <c r="R29" s="65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  <c r="AO29" s="57"/>
      <c r="AP29" s="57"/>
      <c r="AQ29" s="57"/>
      <c r="AR29" s="57"/>
      <c r="AS29" s="98"/>
      <c r="AT29" s="98"/>
      <c r="AU29" s="98"/>
      <c r="AV29" s="98"/>
      <c r="AW29" s="84"/>
      <c r="AX29" s="84"/>
      <c r="AY29" s="84"/>
      <c r="AZ29" s="84"/>
      <c r="BA29" s="84"/>
      <c r="BB29" s="84"/>
      <c r="BC29" s="84"/>
      <c r="BD29" s="84"/>
      <c r="BE29" s="84"/>
      <c r="BF29" s="84"/>
      <c r="BG29" s="84"/>
      <c r="BH29" s="84"/>
      <c r="BI29" s="84"/>
      <c r="BJ29" s="84"/>
      <c r="BK29" s="84"/>
      <c r="BL29" s="84"/>
      <c r="BM29" s="84"/>
      <c r="BN29" s="84"/>
      <c r="BO29" s="84"/>
      <c r="BP29" s="84"/>
      <c r="BQ29" s="84"/>
      <c r="BR29" s="84"/>
      <c r="BS29" s="84"/>
      <c r="BT29" s="84"/>
    </row>
    <row r="30" spans="1:72" ht="15.75" thickBot="1">
      <c r="A30" s="80">
        <v>23</v>
      </c>
      <c r="B30" s="143">
        <v>9</v>
      </c>
      <c r="C30" s="142">
        <v>54</v>
      </c>
      <c r="D30" s="144">
        <f t="shared" si="0"/>
        <v>0.16666666666666666</v>
      </c>
      <c r="E30" s="149">
        <f t="shared" si="1"/>
        <v>3.822906566294109E-2</v>
      </c>
      <c r="F30" s="145">
        <f t="shared" si="2"/>
        <v>0.16666666666666666</v>
      </c>
      <c r="G30" s="145">
        <f t="shared" si="6"/>
        <v>7.8918918918918918E-2</v>
      </c>
      <c r="H30" s="146">
        <f t="shared" si="3"/>
        <v>0.19360611590774218</v>
      </c>
      <c r="I30" s="148">
        <f t="shared" si="4"/>
        <v>0</v>
      </c>
      <c r="J30" s="147">
        <f t="shared" si="5"/>
        <v>-3.5768278069904347E-2</v>
      </c>
      <c r="K30" s="84"/>
      <c r="L30" s="64"/>
      <c r="M30" s="4"/>
      <c r="N30" s="4"/>
      <c r="O30" s="4"/>
      <c r="P30" s="4"/>
      <c r="Q30" s="4"/>
      <c r="R30" s="65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57"/>
      <c r="AP30" s="57"/>
      <c r="AQ30" s="57"/>
      <c r="AR30" s="57"/>
      <c r="AS30" s="98"/>
      <c r="AT30" s="98"/>
      <c r="AU30" s="98"/>
      <c r="AV30" s="98"/>
      <c r="AW30" s="84"/>
      <c r="AX30" s="84"/>
      <c r="AY30" s="84"/>
      <c r="AZ30" s="84"/>
      <c r="BA30" s="84"/>
      <c r="BB30" s="84"/>
      <c r="BC30" s="84"/>
      <c r="BD30" s="84"/>
      <c r="BE30" s="84"/>
      <c r="BF30" s="84"/>
      <c r="BG30" s="84"/>
      <c r="BH30" s="84"/>
      <c r="BI30" s="84"/>
      <c r="BJ30" s="84"/>
      <c r="BK30" s="84"/>
      <c r="BL30" s="84"/>
      <c r="BM30" s="84"/>
      <c r="BN30" s="84"/>
      <c r="BO30" s="84"/>
      <c r="BP30" s="84"/>
      <c r="BQ30" s="84"/>
      <c r="BR30" s="84"/>
      <c r="BS30" s="84"/>
      <c r="BT30" s="84"/>
    </row>
    <row r="31" spans="1:72" ht="15.75" thickBot="1">
      <c r="A31" s="80">
        <v>24</v>
      </c>
      <c r="B31" s="143">
        <v>5</v>
      </c>
      <c r="C31" s="142">
        <v>83</v>
      </c>
      <c r="D31" s="144">
        <f t="shared" si="0"/>
        <v>6.0240963855421686E-2</v>
      </c>
      <c r="E31" s="149">
        <f t="shared" si="1"/>
        <v>3.0835537102841419E-2</v>
      </c>
      <c r="F31" s="145">
        <f t="shared" si="2"/>
        <v>6.0240963855421686E-2</v>
      </c>
      <c r="G31" s="145">
        <f t="shared" si="6"/>
        <v>7.8918918918918918E-2</v>
      </c>
      <c r="H31" s="146">
        <f t="shared" si="3"/>
        <v>0.17142553022744317</v>
      </c>
      <c r="I31" s="148">
        <f t="shared" si="4"/>
        <v>0</v>
      </c>
      <c r="J31" s="147">
        <f t="shared" si="5"/>
        <v>-1.3587692389605333E-2</v>
      </c>
      <c r="K31" s="84"/>
      <c r="L31" s="64"/>
      <c r="M31" s="4"/>
      <c r="N31" s="4"/>
      <c r="O31" s="4"/>
      <c r="P31" s="4"/>
      <c r="Q31" s="4"/>
      <c r="R31" s="65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84"/>
      <c r="AN31" s="84"/>
      <c r="AO31" s="57"/>
      <c r="AP31" s="57"/>
      <c r="AQ31" s="57"/>
      <c r="AR31" s="57"/>
      <c r="AS31" s="98"/>
      <c r="AT31" s="98"/>
      <c r="AU31" s="98"/>
      <c r="AV31" s="98"/>
      <c r="AW31" s="84"/>
      <c r="AX31" s="84"/>
      <c r="AY31" s="84"/>
      <c r="AZ31" s="84"/>
      <c r="BA31" s="84"/>
      <c r="BB31" s="84"/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  <c r="BN31" s="84"/>
      <c r="BO31" s="84"/>
      <c r="BP31" s="84"/>
      <c r="BQ31" s="84"/>
      <c r="BR31" s="84"/>
      <c r="BS31" s="84"/>
      <c r="BT31" s="84"/>
    </row>
    <row r="32" spans="1:72" ht="15.75" thickBot="1">
      <c r="A32" s="80">
        <v>25</v>
      </c>
      <c r="B32" s="143">
        <v>13</v>
      </c>
      <c r="C32" s="142">
        <v>165</v>
      </c>
      <c r="D32" s="144">
        <f t="shared" si="0"/>
        <v>7.8787878787878782E-2</v>
      </c>
      <c r="E32" s="149">
        <f t="shared" si="1"/>
        <v>2.1869990358856548E-2</v>
      </c>
      <c r="F32" s="145">
        <f t="shared" si="2"/>
        <v>7.8787878787878782E-2</v>
      </c>
      <c r="G32" s="145">
        <f t="shared" si="6"/>
        <v>7.8918918918918918E-2</v>
      </c>
      <c r="H32" s="146">
        <f t="shared" si="3"/>
        <v>0.14452888999548857</v>
      </c>
      <c r="I32" s="148">
        <f t="shared" si="4"/>
        <v>1.3308947842349275E-2</v>
      </c>
      <c r="J32" s="147">
        <f t="shared" si="5"/>
        <v>1.3308947842349275E-2</v>
      </c>
      <c r="K32" s="84"/>
      <c r="L32" s="64"/>
      <c r="M32" s="4"/>
      <c r="N32" s="4"/>
      <c r="O32" s="4"/>
      <c r="P32" s="4"/>
      <c r="Q32" s="4"/>
      <c r="R32" s="65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84"/>
      <c r="AN32" s="84"/>
      <c r="AO32" s="57"/>
      <c r="AP32" s="57"/>
      <c r="AQ32" s="57"/>
      <c r="AR32" s="57"/>
      <c r="AS32" s="98"/>
      <c r="AT32" s="98"/>
      <c r="AU32" s="98"/>
      <c r="AV32" s="98"/>
      <c r="AW32" s="84"/>
      <c r="AX32" s="84"/>
      <c r="AY32" s="84"/>
      <c r="AZ32" s="84"/>
      <c r="BA32" s="84"/>
      <c r="BB32" s="84"/>
      <c r="BC32" s="84"/>
      <c r="BD32" s="84"/>
      <c r="BE32" s="84"/>
      <c r="BF32" s="84"/>
      <c r="BG32" s="84"/>
      <c r="BH32" s="84"/>
      <c r="BI32" s="84"/>
      <c r="BJ32" s="84"/>
      <c r="BK32" s="84"/>
      <c r="BL32" s="84"/>
      <c r="BM32" s="84"/>
      <c r="BN32" s="84"/>
      <c r="BO32" s="84"/>
      <c r="BP32" s="84"/>
      <c r="BQ32" s="84"/>
      <c r="BR32" s="84"/>
      <c r="BS32" s="84"/>
      <c r="BT32" s="84"/>
    </row>
    <row r="33" spans="1:72" ht="15.75" thickBot="1">
      <c r="A33" s="80">
        <v>26</v>
      </c>
      <c r="B33" s="143">
        <v>5</v>
      </c>
      <c r="C33" s="142">
        <v>137</v>
      </c>
      <c r="D33" s="144">
        <f t="shared" si="0"/>
        <v>3.6496350364963501E-2</v>
      </c>
      <c r="E33" s="149">
        <f t="shared" si="1"/>
        <v>2.4001052123975779E-2</v>
      </c>
      <c r="F33" s="145">
        <f t="shared" si="2"/>
        <v>3.6496350364963501E-2</v>
      </c>
      <c r="G33" s="145">
        <f t="shared" si="6"/>
        <v>7.8918918918918918E-2</v>
      </c>
      <c r="H33" s="146">
        <f t="shared" si="3"/>
        <v>0.15092207529084625</v>
      </c>
      <c r="I33" s="148">
        <f t="shared" si="4"/>
        <v>6.9157625469915829E-3</v>
      </c>
      <c r="J33" s="147">
        <f t="shared" si="5"/>
        <v>6.9157625469915829E-3</v>
      </c>
      <c r="K33" s="84"/>
      <c r="L33" s="64"/>
      <c r="M33" s="4"/>
      <c r="N33" s="4"/>
      <c r="O33" s="4"/>
      <c r="P33" s="4"/>
      <c r="Q33" s="4"/>
      <c r="R33" s="65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84"/>
      <c r="AN33" s="84"/>
      <c r="AO33" s="57"/>
      <c r="AP33" s="57"/>
      <c r="AQ33" s="57"/>
      <c r="AR33" s="57"/>
      <c r="AS33" s="98"/>
      <c r="AT33" s="98"/>
      <c r="AU33" s="98"/>
      <c r="AV33" s="98"/>
      <c r="AW33" s="84"/>
      <c r="AX33" s="84"/>
      <c r="AY33" s="84"/>
      <c r="AZ33" s="84"/>
      <c r="BA33" s="84"/>
      <c r="BB33" s="84"/>
      <c r="BC33" s="84"/>
      <c r="BD33" s="84"/>
      <c r="BE33" s="84"/>
      <c r="BF33" s="84"/>
      <c r="BG33" s="84"/>
      <c r="BH33" s="84"/>
      <c r="BI33" s="84"/>
      <c r="BJ33" s="84"/>
      <c r="BK33" s="84"/>
      <c r="BL33" s="84"/>
      <c r="BM33" s="84"/>
      <c r="BN33" s="84"/>
      <c r="BO33" s="84"/>
      <c r="BP33" s="84"/>
      <c r="BQ33" s="84"/>
      <c r="BR33" s="84"/>
      <c r="BS33" s="84"/>
      <c r="BT33" s="84"/>
    </row>
    <row r="34" spans="1:72" ht="15.75" thickBot="1">
      <c r="A34" s="80">
        <v>27</v>
      </c>
      <c r="B34" s="143">
        <v>8</v>
      </c>
      <c r="C34" s="142">
        <v>79</v>
      </c>
      <c r="D34" s="144">
        <f t="shared" si="0"/>
        <v>0.10126582278481013</v>
      </c>
      <c r="E34" s="149">
        <f t="shared" si="1"/>
        <v>3.1606544531180648E-2</v>
      </c>
      <c r="F34" s="145">
        <f t="shared" si="2"/>
        <v>0.10126582278481013</v>
      </c>
      <c r="G34" s="145">
        <f t="shared" si="6"/>
        <v>7.8918918918918918E-2</v>
      </c>
      <c r="H34" s="146">
        <f t="shared" si="3"/>
        <v>0.17373855251246087</v>
      </c>
      <c r="I34" s="148">
        <f t="shared" si="4"/>
        <v>0</v>
      </c>
      <c r="J34" s="147">
        <f t="shared" si="5"/>
        <v>-1.5900714674623034E-2</v>
      </c>
      <c r="K34" s="84"/>
      <c r="L34" s="66"/>
      <c r="M34" s="67"/>
      <c r="N34" s="67"/>
      <c r="O34" s="67"/>
      <c r="P34" s="67"/>
      <c r="Q34" s="67"/>
      <c r="R34" s="68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57"/>
      <c r="AP34" s="57"/>
      <c r="AQ34" s="57"/>
      <c r="AR34" s="57"/>
      <c r="AS34" s="98"/>
      <c r="AT34" s="98"/>
      <c r="AU34" s="98"/>
      <c r="AV34" s="98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84"/>
      <c r="BS34" s="84"/>
      <c r="BT34" s="84"/>
    </row>
    <row r="35" spans="1:72" ht="15.75" thickBot="1">
      <c r="A35" s="80">
        <v>28</v>
      </c>
      <c r="B35" s="143">
        <v>6</v>
      </c>
      <c r="C35" s="142">
        <v>76</v>
      </c>
      <c r="D35" s="144">
        <f t="shared" si="0"/>
        <v>7.8947368421052627E-2</v>
      </c>
      <c r="E35" s="149">
        <f t="shared" si="1"/>
        <v>3.2224320440941999E-2</v>
      </c>
      <c r="F35" s="145">
        <f t="shared" si="2"/>
        <v>7.8947368421052627E-2</v>
      </c>
      <c r="G35" s="145">
        <f t="shared" si="6"/>
        <v>7.8918918918918918E-2</v>
      </c>
      <c r="H35" s="146">
        <f t="shared" si="3"/>
        <v>0.17559188024174491</v>
      </c>
      <c r="I35" s="148">
        <f t="shared" si="4"/>
        <v>0</v>
      </c>
      <c r="J35" s="147">
        <f t="shared" si="5"/>
        <v>-1.7754042403907072E-2</v>
      </c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  <c r="AN35" s="84"/>
      <c r="AO35" s="57"/>
      <c r="AP35" s="57"/>
      <c r="AQ35" s="57"/>
      <c r="AR35" s="57"/>
      <c r="AS35" s="98"/>
      <c r="AT35" s="98"/>
      <c r="AU35" s="98"/>
      <c r="AV35" s="98"/>
      <c r="AW35" s="84"/>
      <c r="AX35" s="84"/>
      <c r="AY35" s="84"/>
      <c r="AZ35" s="84"/>
      <c r="BA35" s="84"/>
      <c r="BB35" s="84"/>
      <c r="BC35" s="84"/>
      <c r="BD35" s="84"/>
      <c r="BE35" s="84"/>
      <c r="BF35" s="84"/>
      <c r="BG35" s="84"/>
      <c r="BH35" s="84"/>
      <c r="BI35" s="84"/>
      <c r="BJ35" s="84"/>
      <c r="BK35" s="84"/>
      <c r="BL35" s="84"/>
      <c r="BM35" s="84"/>
      <c r="BN35" s="84"/>
      <c r="BO35" s="84"/>
      <c r="BP35" s="84"/>
      <c r="BQ35" s="84"/>
      <c r="BR35" s="84"/>
      <c r="BS35" s="84"/>
      <c r="BT35" s="84"/>
    </row>
    <row r="36" spans="1:72" ht="15.75" thickBot="1">
      <c r="A36" s="80">
        <v>29</v>
      </c>
      <c r="B36" s="143">
        <v>7</v>
      </c>
      <c r="C36" s="142">
        <v>147</v>
      </c>
      <c r="D36" s="144">
        <f t="shared" si="0"/>
        <v>4.7619047619047616E-2</v>
      </c>
      <c r="E36" s="149">
        <f t="shared" si="1"/>
        <v>2.3170312773164094E-2</v>
      </c>
      <c r="F36" s="145">
        <f t="shared" si="2"/>
        <v>4.7619047619047616E-2</v>
      </c>
      <c r="G36" s="145">
        <f t="shared" si="6"/>
        <v>7.8918918918918918E-2</v>
      </c>
      <c r="H36" s="146">
        <f t="shared" si="3"/>
        <v>0.14842985723841121</v>
      </c>
      <c r="I36" s="148">
        <f t="shared" si="4"/>
        <v>9.4079805994266297E-3</v>
      </c>
      <c r="J36" s="147">
        <f t="shared" si="5"/>
        <v>9.4079805994266297E-3</v>
      </c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57"/>
      <c r="AP36" s="57"/>
      <c r="AQ36" s="57"/>
      <c r="AR36" s="57"/>
      <c r="AS36" s="98"/>
      <c r="AT36" s="98"/>
      <c r="AU36" s="98"/>
      <c r="AV36" s="98"/>
      <c r="AW36" s="84"/>
      <c r="AX36" s="84"/>
      <c r="AY36" s="84"/>
      <c r="AZ36" s="84"/>
      <c r="BA36" s="84"/>
      <c r="BB36" s="84"/>
      <c r="BC36" s="84"/>
      <c r="BD36" s="84"/>
      <c r="BE36" s="84"/>
      <c r="BF36" s="84"/>
      <c r="BG36" s="84"/>
      <c r="BH36" s="84"/>
      <c r="BI36" s="84"/>
      <c r="BJ36" s="84"/>
      <c r="BK36" s="84"/>
      <c r="BL36" s="84"/>
      <c r="BM36" s="84"/>
      <c r="BN36" s="84"/>
      <c r="BO36" s="84"/>
      <c r="BP36" s="84"/>
      <c r="BQ36" s="84"/>
      <c r="BR36" s="84"/>
      <c r="BS36" s="84"/>
      <c r="BT36" s="84"/>
    </row>
    <row r="37" spans="1:72" ht="15.75" thickBot="1">
      <c r="A37" s="80">
        <v>30</v>
      </c>
      <c r="B37" s="143">
        <v>4</v>
      </c>
      <c r="C37" s="142">
        <v>80</v>
      </c>
      <c r="D37" s="144">
        <f t="shared" si="0"/>
        <v>0.05</v>
      </c>
      <c r="E37" s="149">
        <f t="shared" si="1"/>
        <v>3.1408382423908532E-2</v>
      </c>
      <c r="F37" s="145">
        <f t="shared" si="2"/>
        <v>0.05</v>
      </c>
      <c r="G37" s="145">
        <f t="shared" si="6"/>
        <v>7.8918918918918918E-2</v>
      </c>
      <c r="H37" s="146">
        <f t="shared" si="3"/>
        <v>0.17314406619064451</v>
      </c>
      <c r="I37" s="148">
        <f t="shared" si="4"/>
        <v>0</v>
      </c>
      <c r="J37" s="147">
        <f t="shared" si="5"/>
        <v>-1.5306228352806678E-2</v>
      </c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84"/>
      <c r="AN37" s="84"/>
      <c r="AO37" s="57"/>
      <c r="AP37" s="57"/>
      <c r="AQ37" s="57"/>
      <c r="AR37" s="57"/>
      <c r="AS37" s="98"/>
      <c r="AT37" s="98"/>
      <c r="AU37" s="98"/>
      <c r="AV37" s="98"/>
      <c r="AW37" s="84"/>
      <c r="AX37" s="84"/>
      <c r="AY37" s="84"/>
      <c r="AZ37" s="84"/>
      <c r="BA37" s="84"/>
      <c r="BB37" s="84"/>
      <c r="BC37" s="84"/>
      <c r="BD37" s="84"/>
      <c r="BE37" s="84"/>
      <c r="BF37" s="84"/>
      <c r="BG37" s="84"/>
      <c r="BH37" s="84"/>
      <c r="BI37" s="84"/>
      <c r="BJ37" s="84"/>
      <c r="BK37" s="84"/>
      <c r="BL37" s="84"/>
      <c r="BM37" s="84"/>
      <c r="BN37" s="84"/>
      <c r="BO37" s="84"/>
      <c r="BP37" s="84"/>
      <c r="BQ37" s="84"/>
      <c r="BR37" s="84"/>
      <c r="BS37" s="84"/>
      <c r="BT37" s="84"/>
    </row>
    <row r="38" spans="1:72" ht="15.75" thickBot="1">
      <c r="A38" s="2"/>
      <c r="B38" s="143"/>
      <c r="C38" s="142"/>
      <c r="D38" s="144" t="str">
        <f>IF(C38&gt;0,B38/C38,"")</f>
        <v/>
      </c>
      <c r="E38" s="149" t="str">
        <f t="shared" si="1"/>
        <v/>
      </c>
      <c r="F38" s="145" t="str">
        <f t="shared" si="2"/>
        <v/>
      </c>
      <c r="G38" s="145" t="str">
        <f t="shared" si="6"/>
        <v/>
      </c>
      <c r="H38" s="146" t="str">
        <f t="shared" si="3"/>
        <v/>
      </c>
      <c r="I38" s="148" t="str">
        <f t="shared" si="4"/>
        <v/>
      </c>
      <c r="J38" s="147" t="str">
        <f t="shared" si="5"/>
        <v/>
      </c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  <c r="AO38" s="84"/>
      <c r="AP38" s="84"/>
      <c r="AQ38" s="84"/>
      <c r="AR38" s="84"/>
      <c r="AS38" s="84"/>
      <c r="AT38" s="84"/>
      <c r="AU38" s="84"/>
      <c r="AV38" s="84"/>
      <c r="AW38" s="84"/>
      <c r="AX38" s="84"/>
      <c r="AY38" s="84"/>
      <c r="AZ38" s="84"/>
      <c r="BA38" s="84"/>
      <c r="BB38" s="84"/>
      <c r="BC38" s="84"/>
      <c r="BD38" s="84"/>
      <c r="BE38" s="84"/>
      <c r="BF38" s="84"/>
      <c r="BG38" s="84"/>
      <c r="BH38" s="84"/>
      <c r="BI38" s="84"/>
      <c r="BJ38" s="84"/>
      <c r="BK38" s="84"/>
      <c r="BL38" s="84"/>
      <c r="BM38" s="84"/>
      <c r="BN38" s="84"/>
      <c r="BO38" s="84"/>
      <c r="BP38" s="84"/>
      <c r="BQ38" s="84"/>
      <c r="BR38" s="84"/>
      <c r="BS38" s="84"/>
      <c r="BT38" s="84"/>
    </row>
    <row r="39" spans="1:72" ht="15.75" thickBot="1">
      <c r="A39" s="2"/>
      <c r="B39" s="143"/>
      <c r="C39" s="142"/>
      <c r="D39" s="144" t="str">
        <f t="shared" si="0"/>
        <v/>
      </c>
      <c r="E39" s="149" t="str">
        <f t="shared" si="1"/>
        <v/>
      </c>
      <c r="F39" s="145" t="str">
        <f t="shared" si="2"/>
        <v/>
      </c>
      <c r="G39" s="145" t="str">
        <f t="shared" si="6"/>
        <v/>
      </c>
      <c r="H39" s="146" t="str">
        <f t="shared" si="3"/>
        <v/>
      </c>
      <c r="I39" s="148" t="str">
        <f t="shared" si="4"/>
        <v/>
      </c>
      <c r="J39" s="147" t="str">
        <f t="shared" si="5"/>
        <v/>
      </c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4"/>
      <c r="AW39" s="84"/>
      <c r="AX39" s="84"/>
      <c r="AY39" s="84"/>
      <c r="AZ39" s="84"/>
      <c r="BA39" s="84"/>
      <c r="BB39" s="84"/>
      <c r="BC39" s="84"/>
      <c r="BD39" s="84"/>
      <c r="BE39" s="84"/>
      <c r="BF39" s="84"/>
      <c r="BG39" s="84"/>
      <c r="BH39" s="84"/>
      <c r="BI39" s="84"/>
      <c r="BJ39" s="84"/>
      <c r="BK39" s="84"/>
      <c r="BL39" s="84"/>
      <c r="BM39" s="84"/>
      <c r="BN39" s="84"/>
      <c r="BO39" s="84"/>
      <c r="BP39" s="84"/>
      <c r="BQ39" s="84"/>
      <c r="BR39" s="84"/>
      <c r="BS39" s="84"/>
      <c r="BT39" s="84"/>
    </row>
    <row r="40" spans="1:72" ht="15.75" thickBot="1">
      <c r="A40" s="2"/>
      <c r="B40" s="143"/>
      <c r="C40" s="142"/>
      <c r="D40" s="144" t="str">
        <f t="shared" si="0"/>
        <v/>
      </c>
      <c r="E40" s="149" t="str">
        <f t="shared" si="1"/>
        <v/>
      </c>
      <c r="F40" s="145" t="str">
        <f t="shared" si="2"/>
        <v/>
      </c>
      <c r="G40" s="145" t="str">
        <f t="shared" si="6"/>
        <v/>
      </c>
      <c r="H40" s="146" t="str">
        <f t="shared" si="3"/>
        <v/>
      </c>
      <c r="I40" s="148" t="str">
        <f t="shared" ref="I40:I71" si="7">IF(J40&lt;0,0,J40)</f>
        <v/>
      </c>
      <c r="J40" s="147" t="str">
        <f t="shared" si="5"/>
        <v/>
      </c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4"/>
      <c r="AS40" s="84"/>
      <c r="AT40" s="84"/>
      <c r="AU40" s="84"/>
      <c r="AV40" s="84"/>
      <c r="AW40" s="84"/>
      <c r="AX40" s="84"/>
      <c r="AY40" s="84"/>
      <c r="AZ40" s="84"/>
      <c r="BA40" s="84"/>
      <c r="BB40" s="84"/>
      <c r="BC40" s="84"/>
      <c r="BD40" s="84"/>
      <c r="BE40" s="84"/>
      <c r="BF40" s="84"/>
      <c r="BG40" s="84"/>
      <c r="BH40" s="84"/>
      <c r="BI40" s="84"/>
      <c r="BJ40" s="84"/>
      <c r="BK40" s="84"/>
      <c r="BL40" s="84"/>
      <c r="BM40" s="84"/>
      <c r="BN40" s="84"/>
      <c r="BO40" s="84"/>
      <c r="BP40" s="84"/>
      <c r="BQ40" s="84"/>
      <c r="BR40" s="84"/>
      <c r="BS40" s="84"/>
      <c r="BT40" s="84"/>
    </row>
    <row r="41" spans="1:72" ht="15.75" thickBot="1">
      <c r="A41" s="2"/>
      <c r="B41" s="143"/>
      <c r="C41" s="142"/>
      <c r="D41" s="144" t="str">
        <f t="shared" si="0"/>
        <v/>
      </c>
      <c r="E41" s="149" t="str">
        <f t="shared" si="1"/>
        <v/>
      </c>
      <c r="F41" s="145" t="str">
        <f t="shared" si="2"/>
        <v/>
      </c>
      <c r="G41" s="145" t="str">
        <f t="shared" si="6"/>
        <v/>
      </c>
      <c r="H41" s="146" t="str">
        <f t="shared" si="3"/>
        <v/>
      </c>
      <c r="I41" s="148" t="str">
        <f t="shared" si="7"/>
        <v/>
      </c>
      <c r="J41" s="147" t="str">
        <f t="shared" si="5"/>
        <v/>
      </c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84"/>
      <c r="AW41" s="84"/>
      <c r="AX41" s="84"/>
      <c r="AY41" s="84"/>
      <c r="AZ41" s="84"/>
      <c r="BA41" s="84"/>
      <c r="BB41" s="84"/>
      <c r="BC41" s="84"/>
      <c r="BD41" s="84"/>
      <c r="BE41" s="84"/>
      <c r="BF41" s="84"/>
      <c r="BG41" s="84"/>
      <c r="BH41" s="84"/>
      <c r="BI41" s="84"/>
      <c r="BJ41" s="84"/>
      <c r="BK41" s="84"/>
      <c r="BL41" s="84"/>
      <c r="BM41" s="84"/>
      <c r="BN41" s="84"/>
      <c r="BO41" s="84"/>
      <c r="BP41" s="84"/>
      <c r="BQ41" s="84"/>
      <c r="BR41" s="84"/>
      <c r="BS41" s="84"/>
      <c r="BT41" s="84"/>
    </row>
    <row r="42" spans="1:72" ht="15.75" thickBot="1">
      <c r="A42" s="2"/>
      <c r="B42" s="143"/>
      <c r="C42" s="142"/>
      <c r="D42" s="144" t="str">
        <f t="shared" si="0"/>
        <v/>
      </c>
      <c r="E42" s="149" t="str">
        <f t="shared" si="1"/>
        <v/>
      </c>
      <c r="F42" s="145" t="str">
        <f t="shared" si="2"/>
        <v/>
      </c>
      <c r="G42" s="145" t="str">
        <f t="shared" si="6"/>
        <v/>
      </c>
      <c r="H42" s="146" t="str">
        <f t="shared" si="3"/>
        <v/>
      </c>
      <c r="I42" s="148" t="str">
        <f t="shared" si="7"/>
        <v/>
      </c>
      <c r="J42" s="147" t="str">
        <f t="shared" si="5"/>
        <v/>
      </c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4"/>
      <c r="AS42" s="84"/>
      <c r="AT42" s="84"/>
      <c r="AU42" s="84"/>
      <c r="AV42" s="84"/>
      <c r="AW42" s="84"/>
      <c r="AX42" s="84"/>
      <c r="AY42" s="84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84"/>
      <c r="BL42" s="84"/>
      <c r="BM42" s="84"/>
      <c r="BN42" s="84"/>
      <c r="BO42" s="84"/>
      <c r="BP42" s="84"/>
      <c r="BQ42" s="84"/>
      <c r="BR42" s="84"/>
      <c r="BS42" s="84"/>
      <c r="BT42" s="84"/>
    </row>
    <row r="43" spans="1:72" ht="15.75" thickBot="1">
      <c r="A43" s="2"/>
      <c r="B43" s="143"/>
      <c r="C43" s="142"/>
      <c r="D43" s="144" t="str">
        <f t="shared" si="0"/>
        <v/>
      </c>
      <c r="E43" s="149" t="str">
        <f t="shared" si="1"/>
        <v/>
      </c>
      <c r="F43" s="145" t="str">
        <f t="shared" si="2"/>
        <v/>
      </c>
      <c r="G43" s="145" t="str">
        <f t="shared" si="6"/>
        <v/>
      </c>
      <c r="H43" s="146" t="str">
        <f t="shared" si="3"/>
        <v/>
      </c>
      <c r="I43" s="148" t="str">
        <f t="shared" si="7"/>
        <v/>
      </c>
      <c r="J43" s="147" t="str">
        <f t="shared" si="5"/>
        <v/>
      </c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4"/>
      <c r="AS43" s="84"/>
      <c r="AT43" s="84"/>
      <c r="AU43" s="84"/>
      <c r="AV43" s="84"/>
      <c r="AW43" s="84"/>
      <c r="AX43" s="84"/>
      <c r="AY43" s="84"/>
      <c r="AZ43" s="84"/>
      <c r="BA43" s="84"/>
      <c r="BB43" s="84"/>
      <c r="BC43" s="84"/>
      <c r="BD43" s="84"/>
      <c r="BE43" s="84"/>
      <c r="BF43" s="84"/>
      <c r="BG43" s="84"/>
      <c r="BH43" s="84"/>
      <c r="BI43" s="84"/>
      <c r="BJ43" s="84"/>
      <c r="BK43" s="84"/>
      <c r="BL43" s="84"/>
      <c r="BM43" s="84"/>
      <c r="BN43" s="84"/>
      <c r="BO43" s="84"/>
      <c r="BP43" s="84"/>
      <c r="BQ43" s="84"/>
      <c r="BR43" s="84"/>
      <c r="BS43" s="84"/>
      <c r="BT43" s="84"/>
    </row>
    <row r="44" spans="1:72" ht="15.75" thickBot="1">
      <c r="A44" s="2"/>
      <c r="B44" s="143"/>
      <c r="C44" s="142"/>
      <c r="D44" s="144" t="str">
        <f t="shared" si="0"/>
        <v/>
      </c>
      <c r="E44" s="149" t="str">
        <f t="shared" si="1"/>
        <v/>
      </c>
      <c r="F44" s="145" t="str">
        <f t="shared" si="2"/>
        <v/>
      </c>
      <c r="G44" s="145" t="str">
        <f t="shared" si="6"/>
        <v/>
      </c>
      <c r="H44" s="146" t="str">
        <f t="shared" si="3"/>
        <v/>
      </c>
      <c r="I44" s="148" t="str">
        <f t="shared" si="7"/>
        <v/>
      </c>
      <c r="J44" s="147" t="str">
        <f t="shared" si="5"/>
        <v/>
      </c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4"/>
      <c r="AS44" s="84"/>
      <c r="AT44" s="84"/>
      <c r="AU44" s="84"/>
      <c r="AV44" s="84"/>
      <c r="AW44" s="84"/>
      <c r="AX44" s="84"/>
      <c r="AY44" s="84"/>
      <c r="AZ44" s="84"/>
      <c r="BA44" s="84"/>
      <c r="BB44" s="84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  <c r="BN44" s="84"/>
      <c r="BO44" s="84"/>
      <c r="BP44" s="84"/>
      <c r="BQ44" s="84"/>
      <c r="BR44" s="84"/>
      <c r="BS44" s="84"/>
      <c r="BT44" s="84"/>
    </row>
    <row r="45" spans="1:72" ht="15.75" thickBot="1">
      <c r="A45" s="2"/>
      <c r="B45" s="143"/>
      <c r="C45" s="142"/>
      <c r="D45" s="144" t="str">
        <f t="shared" si="0"/>
        <v/>
      </c>
      <c r="E45" s="149" t="str">
        <f t="shared" si="1"/>
        <v/>
      </c>
      <c r="F45" s="145" t="str">
        <f t="shared" si="2"/>
        <v/>
      </c>
      <c r="G45" s="145" t="str">
        <f t="shared" si="6"/>
        <v/>
      </c>
      <c r="H45" s="146" t="str">
        <f t="shared" si="3"/>
        <v/>
      </c>
      <c r="I45" s="148" t="str">
        <f t="shared" si="7"/>
        <v/>
      </c>
      <c r="J45" s="147" t="str">
        <f t="shared" si="5"/>
        <v/>
      </c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  <c r="AO45" s="84"/>
      <c r="AP45" s="84"/>
      <c r="AQ45" s="84"/>
      <c r="AR45" s="84"/>
      <c r="AS45" s="84"/>
      <c r="AT45" s="84"/>
      <c r="AU45" s="84"/>
      <c r="AV45" s="84"/>
      <c r="AW45" s="84"/>
      <c r="AX45" s="84"/>
      <c r="AY45" s="84"/>
      <c r="AZ45" s="84"/>
      <c r="BA45" s="84"/>
      <c r="BB45" s="84"/>
      <c r="BC45" s="84"/>
      <c r="BD45" s="84"/>
      <c r="BE45" s="84"/>
      <c r="BF45" s="84"/>
      <c r="BG45" s="84"/>
      <c r="BH45" s="84"/>
      <c r="BI45" s="84"/>
      <c r="BJ45" s="84"/>
      <c r="BK45" s="84"/>
      <c r="BL45" s="84"/>
      <c r="BM45" s="84"/>
      <c r="BN45" s="84"/>
      <c r="BO45" s="84"/>
      <c r="BP45" s="84"/>
      <c r="BQ45" s="84"/>
      <c r="BR45" s="84"/>
      <c r="BS45" s="84"/>
      <c r="BT45" s="84"/>
    </row>
    <row r="46" spans="1:72" ht="15.75" thickBot="1">
      <c r="A46" s="2"/>
      <c r="B46" s="143"/>
      <c r="C46" s="142"/>
      <c r="D46" s="144" t="str">
        <f t="shared" si="0"/>
        <v/>
      </c>
      <c r="E46" s="149" t="str">
        <f t="shared" si="1"/>
        <v/>
      </c>
      <c r="F46" s="145" t="str">
        <f t="shared" si="2"/>
        <v/>
      </c>
      <c r="G46" s="145" t="str">
        <f t="shared" si="6"/>
        <v/>
      </c>
      <c r="H46" s="146" t="str">
        <f t="shared" si="3"/>
        <v/>
      </c>
      <c r="I46" s="148" t="str">
        <f t="shared" si="7"/>
        <v/>
      </c>
      <c r="J46" s="147" t="str">
        <f t="shared" si="5"/>
        <v/>
      </c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  <c r="AO46" s="84"/>
      <c r="AP46" s="84"/>
      <c r="AQ46" s="84"/>
      <c r="AR46" s="84"/>
      <c r="AS46" s="84"/>
      <c r="AT46" s="84"/>
      <c r="AU46" s="84"/>
      <c r="AV46" s="84"/>
      <c r="AW46" s="84"/>
      <c r="AX46" s="84"/>
      <c r="AY46" s="84"/>
      <c r="AZ46" s="84"/>
      <c r="BA46" s="84"/>
      <c r="BB46" s="84"/>
      <c r="BC46" s="84"/>
      <c r="BD46" s="84"/>
      <c r="BE46" s="84"/>
      <c r="BF46" s="84"/>
      <c r="BG46" s="84"/>
      <c r="BH46" s="84"/>
      <c r="BI46" s="84"/>
      <c r="BJ46" s="84"/>
      <c r="BK46" s="84"/>
      <c r="BL46" s="84"/>
      <c r="BM46" s="84"/>
      <c r="BN46" s="84"/>
      <c r="BO46" s="84"/>
      <c r="BP46" s="84"/>
      <c r="BQ46" s="84"/>
      <c r="BR46" s="84"/>
      <c r="BS46" s="84"/>
      <c r="BT46" s="84"/>
    </row>
    <row r="47" spans="1:72" ht="15.75" thickBot="1">
      <c r="A47" s="2"/>
      <c r="B47" s="143"/>
      <c r="C47" s="142"/>
      <c r="D47" s="144" t="str">
        <f t="shared" si="0"/>
        <v/>
      </c>
      <c r="E47" s="149" t="str">
        <f t="shared" si="1"/>
        <v/>
      </c>
      <c r="F47" s="145" t="str">
        <f t="shared" si="2"/>
        <v/>
      </c>
      <c r="G47" s="145" t="str">
        <f t="shared" si="6"/>
        <v/>
      </c>
      <c r="H47" s="146" t="str">
        <f t="shared" si="3"/>
        <v/>
      </c>
      <c r="I47" s="148" t="str">
        <f t="shared" si="7"/>
        <v/>
      </c>
      <c r="J47" s="147" t="str">
        <f t="shared" si="5"/>
        <v/>
      </c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  <c r="AL47" s="84"/>
      <c r="AM47" s="84"/>
      <c r="AN47" s="84"/>
      <c r="AO47" s="84"/>
      <c r="AP47" s="84"/>
      <c r="AQ47" s="84"/>
      <c r="AR47" s="84"/>
      <c r="AS47" s="84"/>
      <c r="AT47" s="84"/>
      <c r="AU47" s="84"/>
      <c r="AV47" s="84"/>
      <c r="AW47" s="84"/>
      <c r="AX47" s="84"/>
      <c r="AY47" s="84"/>
      <c r="AZ47" s="84"/>
      <c r="BA47" s="84"/>
      <c r="BB47" s="84"/>
      <c r="BC47" s="84"/>
      <c r="BD47" s="84"/>
      <c r="BE47" s="84"/>
      <c r="BF47" s="84"/>
      <c r="BG47" s="84"/>
      <c r="BH47" s="84"/>
      <c r="BI47" s="84"/>
      <c r="BJ47" s="84"/>
      <c r="BK47" s="84"/>
      <c r="BL47" s="84"/>
      <c r="BM47" s="84"/>
      <c r="BN47" s="84"/>
      <c r="BO47" s="84"/>
      <c r="BP47" s="84"/>
      <c r="BQ47" s="84"/>
      <c r="BR47" s="84"/>
      <c r="BS47" s="84"/>
      <c r="BT47" s="84"/>
    </row>
    <row r="48" spans="1:72" ht="15.75" thickBot="1">
      <c r="A48" s="2"/>
      <c r="B48" s="143"/>
      <c r="C48" s="142"/>
      <c r="D48" s="144" t="str">
        <f t="shared" si="0"/>
        <v/>
      </c>
      <c r="E48" s="149" t="str">
        <f t="shared" si="1"/>
        <v/>
      </c>
      <c r="F48" s="145" t="str">
        <f t="shared" si="2"/>
        <v/>
      </c>
      <c r="G48" s="145" t="str">
        <f t="shared" si="6"/>
        <v/>
      </c>
      <c r="H48" s="146" t="str">
        <f t="shared" si="3"/>
        <v/>
      </c>
      <c r="I48" s="148" t="str">
        <f t="shared" si="7"/>
        <v/>
      </c>
      <c r="J48" s="147" t="str">
        <f t="shared" si="5"/>
        <v/>
      </c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  <c r="AO48" s="84"/>
      <c r="AP48" s="84"/>
      <c r="AQ48" s="84"/>
      <c r="AR48" s="84"/>
      <c r="AS48" s="84"/>
      <c r="AT48" s="84"/>
      <c r="AU48" s="84"/>
      <c r="AV48" s="84"/>
      <c r="AW48" s="84"/>
      <c r="AX48" s="84"/>
      <c r="AY48" s="84"/>
      <c r="AZ48" s="84"/>
      <c r="BA48" s="84"/>
      <c r="BB48" s="84"/>
      <c r="BC48" s="84"/>
      <c r="BD48" s="84"/>
      <c r="BE48" s="84"/>
      <c r="BF48" s="84"/>
      <c r="BG48" s="84"/>
      <c r="BH48" s="84"/>
      <c r="BI48" s="84"/>
      <c r="BJ48" s="84"/>
      <c r="BK48" s="84"/>
      <c r="BL48" s="84"/>
      <c r="BM48" s="84"/>
      <c r="BN48" s="84"/>
      <c r="BO48" s="84"/>
      <c r="BP48" s="84"/>
      <c r="BQ48" s="84"/>
      <c r="BR48" s="84"/>
      <c r="BS48" s="84"/>
      <c r="BT48" s="84"/>
    </row>
    <row r="49" spans="1:72" ht="15.75" thickBot="1">
      <c r="A49" s="2"/>
      <c r="B49" s="143"/>
      <c r="C49" s="142"/>
      <c r="D49" s="144" t="str">
        <f t="shared" si="0"/>
        <v/>
      </c>
      <c r="E49" s="149" t="str">
        <f t="shared" si="1"/>
        <v/>
      </c>
      <c r="F49" s="145" t="str">
        <f t="shared" si="2"/>
        <v/>
      </c>
      <c r="G49" s="145" t="str">
        <f t="shared" si="6"/>
        <v/>
      </c>
      <c r="H49" s="146" t="str">
        <f t="shared" si="3"/>
        <v/>
      </c>
      <c r="I49" s="148" t="str">
        <f t="shared" si="7"/>
        <v/>
      </c>
      <c r="J49" s="147" t="str">
        <f t="shared" si="5"/>
        <v/>
      </c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  <c r="AO49" s="84"/>
      <c r="AP49" s="84"/>
      <c r="AQ49" s="84"/>
      <c r="AR49" s="84"/>
      <c r="AS49" s="84"/>
      <c r="AT49" s="84"/>
      <c r="AU49" s="84"/>
      <c r="AV49" s="84"/>
      <c r="AW49" s="84"/>
      <c r="AX49" s="84"/>
      <c r="AY49" s="84"/>
      <c r="AZ49" s="84"/>
      <c r="BA49" s="84"/>
      <c r="BB49" s="84"/>
      <c r="BC49" s="84"/>
      <c r="BD49" s="84"/>
      <c r="BE49" s="84"/>
      <c r="BF49" s="84"/>
      <c r="BG49" s="84"/>
      <c r="BH49" s="84"/>
      <c r="BI49" s="84"/>
      <c r="BJ49" s="84"/>
      <c r="BK49" s="84"/>
      <c r="BL49" s="84"/>
      <c r="BM49" s="84"/>
      <c r="BN49" s="84"/>
      <c r="BO49" s="84"/>
      <c r="BP49" s="84"/>
      <c r="BQ49" s="84"/>
      <c r="BR49" s="84"/>
      <c r="BS49" s="84"/>
      <c r="BT49" s="84"/>
    </row>
    <row r="50" spans="1:72" ht="15.75" thickBot="1">
      <c r="A50" s="2"/>
      <c r="B50" s="143"/>
      <c r="C50" s="142"/>
      <c r="D50" s="144" t="str">
        <f t="shared" si="0"/>
        <v/>
      </c>
      <c r="E50" s="149" t="str">
        <f t="shared" si="1"/>
        <v/>
      </c>
      <c r="F50" s="145" t="str">
        <f t="shared" si="2"/>
        <v/>
      </c>
      <c r="G50" s="145" t="str">
        <f t="shared" si="6"/>
        <v/>
      </c>
      <c r="H50" s="146" t="str">
        <f t="shared" si="3"/>
        <v/>
      </c>
      <c r="I50" s="148" t="str">
        <f t="shared" si="7"/>
        <v/>
      </c>
      <c r="J50" s="147" t="str">
        <f t="shared" si="5"/>
        <v/>
      </c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  <c r="BS50" s="84"/>
      <c r="BT50" s="84"/>
    </row>
    <row r="51" spans="1:72" ht="15.75" thickBot="1">
      <c r="A51" s="2"/>
      <c r="B51" s="143"/>
      <c r="C51" s="142"/>
      <c r="D51" s="144" t="str">
        <f t="shared" si="0"/>
        <v/>
      </c>
      <c r="E51" s="149" t="str">
        <f t="shared" si="1"/>
        <v/>
      </c>
      <c r="F51" s="145" t="str">
        <f t="shared" si="2"/>
        <v/>
      </c>
      <c r="G51" s="145" t="str">
        <f t="shared" si="6"/>
        <v/>
      </c>
      <c r="H51" s="146" t="str">
        <f t="shared" si="3"/>
        <v/>
      </c>
      <c r="I51" s="148" t="str">
        <f t="shared" si="7"/>
        <v/>
      </c>
      <c r="J51" s="147" t="str">
        <f t="shared" si="5"/>
        <v/>
      </c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4"/>
      <c r="AS51" s="84"/>
      <c r="AT51" s="84"/>
      <c r="AU51" s="84"/>
      <c r="AV51" s="84"/>
      <c r="AW51" s="84"/>
      <c r="AX51" s="84"/>
      <c r="AY51" s="84"/>
      <c r="AZ51" s="84"/>
      <c r="BA51" s="84"/>
      <c r="BB51" s="84"/>
      <c r="BC51" s="84"/>
      <c r="BD51" s="84"/>
      <c r="BE51" s="84"/>
      <c r="BF51" s="84"/>
      <c r="BG51" s="84"/>
      <c r="BH51" s="84"/>
      <c r="BI51" s="84"/>
      <c r="BJ51" s="84"/>
      <c r="BK51" s="84"/>
      <c r="BL51" s="84"/>
      <c r="BM51" s="84"/>
      <c r="BN51" s="84"/>
      <c r="BO51" s="84"/>
      <c r="BP51" s="84"/>
      <c r="BQ51" s="84"/>
      <c r="BR51" s="84"/>
      <c r="BS51" s="84"/>
      <c r="BT51" s="84"/>
    </row>
    <row r="52" spans="1:72" ht="15.75" thickBot="1">
      <c r="A52" s="2"/>
      <c r="B52" s="143"/>
      <c r="C52" s="142"/>
      <c r="D52" s="144" t="str">
        <f t="shared" si="0"/>
        <v/>
      </c>
      <c r="E52" s="149" t="str">
        <f t="shared" si="1"/>
        <v/>
      </c>
      <c r="F52" s="145" t="str">
        <f t="shared" si="2"/>
        <v/>
      </c>
      <c r="G52" s="145" t="str">
        <f t="shared" si="6"/>
        <v/>
      </c>
      <c r="H52" s="146" t="str">
        <f t="shared" si="3"/>
        <v/>
      </c>
      <c r="I52" s="148" t="str">
        <f t="shared" si="7"/>
        <v/>
      </c>
      <c r="J52" s="147" t="str">
        <f t="shared" si="5"/>
        <v/>
      </c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4"/>
      <c r="AS52" s="84"/>
      <c r="AT52" s="84"/>
      <c r="AU52" s="84"/>
      <c r="AV52" s="84"/>
      <c r="AW52" s="84"/>
      <c r="AX52" s="84"/>
      <c r="AY52" s="84"/>
      <c r="AZ52" s="84"/>
      <c r="BA52" s="84"/>
      <c r="BB52" s="84"/>
      <c r="BC52" s="84"/>
      <c r="BD52" s="84"/>
      <c r="BE52" s="84"/>
      <c r="BF52" s="84"/>
      <c r="BG52" s="84"/>
      <c r="BH52" s="84"/>
      <c r="BI52" s="84"/>
      <c r="BJ52" s="84"/>
      <c r="BK52" s="84"/>
      <c r="BL52" s="84"/>
      <c r="BM52" s="84"/>
      <c r="BN52" s="84"/>
      <c r="BO52" s="84"/>
      <c r="BP52" s="84"/>
      <c r="BQ52" s="84"/>
      <c r="BR52" s="84"/>
      <c r="BS52" s="84"/>
      <c r="BT52" s="84"/>
    </row>
    <row r="53" spans="1:72" ht="15.75" thickBot="1">
      <c r="A53" s="2"/>
      <c r="B53" s="143"/>
      <c r="C53" s="142"/>
      <c r="D53" s="144" t="str">
        <f t="shared" si="0"/>
        <v/>
      </c>
      <c r="E53" s="149" t="str">
        <f t="shared" si="1"/>
        <v/>
      </c>
      <c r="F53" s="145" t="str">
        <f t="shared" si="2"/>
        <v/>
      </c>
      <c r="G53" s="145" t="str">
        <f t="shared" si="6"/>
        <v/>
      </c>
      <c r="H53" s="146" t="str">
        <f t="shared" si="3"/>
        <v/>
      </c>
      <c r="I53" s="148" t="str">
        <f t="shared" si="7"/>
        <v/>
      </c>
      <c r="J53" s="147" t="str">
        <f t="shared" si="5"/>
        <v/>
      </c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  <c r="AM53" s="84"/>
      <c r="AN53" s="84"/>
      <c r="AO53" s="84"/>
      <c r="AP53" s="84"/>
      <c r="AQ53" s="84"/>
      <c r="AR53" s="84"/>
      <c r="AS53" s="84"/>
      <c r="AT53" s="84"/>
      <c r="AU53" s="84"/>
      <c r="AV53" s="84"/>
      <c r="AW53" s="84"/>
      <c r="AX53" s="84"/>
      <c r="AY53" s="84"/>
      <c r="AZ53" s="84"/>
      <c r="BA53" s="84"/>
      <c r="BB53" s="84"/>
      <c r="BC53" s="84"/>
      <c r="BD53" s="84"/>
      <c r="BE53" s="84"/>
      <c r="BF53" s="84"/>
      <c r="BG53" s="84"/>
      <c r="BH53" s="84"/>
      <c r="BI53" s="84"/>
      <c r="BJ53" s="84"/>
      <c r="BK53" s="84"/>
      <c r="BL53" s="84"/>
      <c r="BM53" s="84"/>
      <c r="BN53" s="84"/>
      <c r="BO53" s="84"/>
      <c r="BP53" s="84"/>
      <c r="BQ53" s="84"/>
      <c r="BR53" s="84"/>
      <c r="BS53" s="84"/>
      <c r="BT53" s="84"/>
    </row>
    <row r="54" spans="1:72" ht="15.75" thickBot="1">
      <c r="A54" s="2"/>
      <c r="B54" s="143"/>
      <c r="C54" s="142"/>
      <c r="D54" s="144" t="str">
        <f t="shared" si="0"/>
        <v/>
      </c>
      <c r="E54" s="149" t="str">
        <f t="shared" si="1"/>
        <v/>
      </c>
      <c r="F54" s="145" t="str">
        <f t="shared" si="2"/>
        <v/>
      </c>
      <c r="G54" s="145" t="str">
        <f t="shared" si="6"/>
        <v/>
      </c>
      <c r="H54" s="146" t="str">
        <f t="shared" si="3"/>
        <v/>
      </c>
      <c r="I54" s="148" t="str">
        <f t="shared" si="7"/>
        <v/>
      </c>
      <c r="J54" s="147" t="str">
        <f t="shared" si="5"/>
        <v/>
      </c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84"/>
      <c r="AN54" s="84"/>
      <c r="AO54" s="84"/>
      <c r="AP54" s="84"/>
      <c r="AQ54" s="84"/>
      <c r="AR54" s="84"/>
      <c r="AS54" s="84"/>
      <c r="AT54" s="84"/>
      <c r="AU54" s="84"/>
      <c r="AV54" s="84"/>
      <c r="AW54" s="84"/>
      <c r="AX54" s="84"/>
      <c r="AY54" s="84"/>
      <c r="AZ54" s="84"/>
      <c r="BA54" s="84"/>
      <c r="BB54" s="84"/>
      <c r="BC54" s="84"/>
      <c r="BD54" s="84"/>
      <c r="BE54" s="84"/>
      <c r="BF54" s="84"/>
      <c r="BG54" s="84"/>
      <c r="BH54" s="84"/>
      <c r="BI54" s="84"/>
      <c r="BJ54" s="84"/>
      <c r="BK54" s="84"/>
      <c r="BL54" s="84"/>
      <c r="BM54" s="84"/>
      <c r="BN54" s="84"/>
      <c r="BO54" s="84"/>
      <c r="BP54" s="84"/>
      <c r="BQ54" s="84"/>
      <c r="BR54" s="84"/>
      <c r="BS54" s="84"/>
      <c r="BT54" s="84"/>
    </row>
    <row r="55" spans="1:72" ht="15.75" thickBot="1">
      <c r="A55" s="2"/>
      <c r="B55" s="143"/>
      <c r="C55" s="142"/>
      <c r="D55" s="144" t="str">
        <f t="shared" si="0"/>
        <v/>
      </c>
      <c r="E55" s="149" t="str">
        <f t="shared" si="1"/>
        <v/>
      </c>
      <c r="F55" s="145" t="str">
        <f t="shared" si="2"/>
        <v/>
      </c>
      <c r="G55" s="145" t="str">
        <f t="shared" si="6"/>
        <v/>
      </c>
      <c r="H55" s="146" t="str">
        <f t="shared" si="3"/>
        <v/>
      </c>
      <c r="I55" s="148" t="str">
        <f t="shared" si="7"/>
        <v/>
      </c>
      <c r="J55" s="147" t="str">
        <f t="shared" si="5"/>
        <v/>
      </c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84"/>
      <c r="AN55" s="84"/>
      <c r="AO55" s="84"/>
      <c r="AP55" s="84"/>
      <c r="AQ55" s="84"/>
      <c r="AR55" s="84"/>
      <c r="AS55" s="84"/>
      <c r="AT55" s="84"/>
      <c r="AU55" s="84"/>
      <c r="AV55" s="84"/>
      <c r="AW55" s="84"/>
      <c r="AX55" s="84"/>
      <c r="AY55" s="84"/>
      <c r="AZ55" s="84"/>
      <c r="BA55" s="84"/>
      <c r="BB55" s="84"/>
      <c r="BC55" s="84"/>
      <c r="BD55" s="84"/>
      <c r="BE55" s="84"/>
      <c r="BF55" s="84"/>
      <c r="BG55" s="84"/>
      <c r="BH55" s="84"/>
      <c r="BI55" s="84"/>
      <c r="BJ55" s="84"/>
      <c r="BK55" s="84"/>
      <c r="BL55" s="84"/>
      <c r="BM55" s="84"/>
      <c r="BN55" s="84"/>
      <c r="BO55" s="84"/>
      <c r="BP55" s="84"/>
      <c r="BQ55" s="84"/>
      <c r="BR55" s="84"/>
      <c r="BS55" s="84"/>
      <c r="BT55" s="84"/>
    </row>
    <row r="56" spans="1:72" ht="15.75" thickBot="1">
      <c r="A56" s="2"/>
      <c r="B56" s="143"/>
      <c r="C56" s="142"/>
      <c r="D56" s="144" t="str">
        <f t="shared" si="0"/>
        <v/>
      </c>
      <c r="E56" s="149" t="str">
        <f t="shared" si="1"/>
        <v/>
      </c>
      <c r="F56" s="145" t="str">
        <f t="shared" si="2"/>
        <v/>
      </c>
      <c r="G56" s="145" t="str">
        <f t="shared" si="6"/>
        <v/>
      </c>
      <c r="H56" s="146" t="str">
        <f t="shared" si="3"/>
        <v/>
      </c>
      <c r="I56" s="148" t="str">
        <f t="shared" si="7"/>
        <v/>
      </c>
      <c r="J56" s="147" t="str">
        <f t="shared" si="5"/>
        <v/>
      </c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  <c r="AN56" s="84"/>
      <c r="AO56" s="84"/>
      <c r="AP56" s="84"/>
      <c r="AQ56" s="84"/>
      <c r="AR56" s="84"/>
      <c r="AS56" s="84"/>
      <c r="AT56" s="84"/>
      <c r="AU56" s="84"/>
      <c r="AV56" s="84"/>
      <c r="AW56" s="84"/>
      <c r="AX56" s="84"/>
      <c r="AY56" s="84"/>
      <c r="AZ56" s="84"/>
      <c r="BA56" s="84"/>
      <c r="BB56" s="84"/>
      <c r="BC56" s="84"/>
      <c r="BD56" s="84"/>
      <c r="BE56" s="84"/>
      <c r="BF56" s="84"/>
      <c r="BG56" s="84"/>
      <c r="BH56" s="84"/>
      <c r="BI56" s="84"/>
      <c r="BJ56" s="84"/>
      <c r="BK56" s="84"/>
      <c r="BL56" s="84"/>
      <c r="BM56" s="84"/>
      <c r="BN56" s="84"/>
      <c r="BO56" s="84"/>
      <c r="BP56" s="84"/>
      <c r="BQ56" s="84"/>
      <c r="BR56" s="84"/>
      <c r="BS56" s="84"/>
      <c r="BT56" s="84"/>
    </row>
    <row r="57" spans="1:72" ht="15.75" thickBot="1">
      <c r="A57" s="2"/>
      <c r="B57" s="143"/>
      <c r="C57" s="142"/>
      <c r="D57" s="144" t="str">
        <f t="shared" si="0"/>
        <v/>
      </c>
      <c r="E57" s="149" t="str">
        <f t="shared" si="1"/>
        <v/>
      </c>
      <c r="F57" s="145" t="str">
        <f t="shared" si="2"/>
        <v/>
      </c>
      <c r="G57" s="145" t="str">
        <f t="shared" si="6"/>
        <v/>
      </c>
      <c r="H57" s="146" t="str">
        <f t="shared" si="3"/>
        <v/>
      </c>
      <c r="I57" s="148" t="str">
        <f t="shared" si="7"/>
        <v/>
      </c>
      <c r="J57" s="147" t="str">
        <f t="shared" si="5"/>
        <v/>
      </c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84"/>
      <c r="AN57" s="84"/>
      <c r="AO57" s="84"/>
      <c r="AP57" s="84"/>
      <c r="AQ57" s="84"/>
      <c r="AR57" s="84"/>
      <c r="AS57" s="84"/>
      <c r="AT57" s="84"/>
      <c r="AU57" s="84"/>
      <c r="AV57" s="84"/>
      <c r="AW57" s="84"/>
      <c r="AX57" s="84"/>
      <c r="AY57" s="84"/>
      <c r="AZ57" s="84"/>
      <c r="BA57" s="84"/>
      <c r="BB57" s="84"/>
      <c r="BC57" s="84"/>
      <c r="BD57" s="84"/>
      <c r="BE57" s="84"/>
      <c r="BF57" s="84"/>
      <c r="BG57" s="84"/>
      <c r="BH57" s="84"/>
      <c r="BI57" s="84"/>
      <c r="BJ57" s="84"/>
      <c r="BK57" s="84"/>
      <c r="BL57" s="84"/>
      <c r="BM57" s="84"/>
      <c r="BN57" s="84"/>
      <c r="BO57" s="84"/>
      <c r="BP57" s="84"/>
      <c r="BQ57" s="84"/>
      <c r="BR57" s="84"/>
      <c r="BS57" s="84"/>
      <c r="BT57" s="84"/>
    </row>
    <row r="58" spans="1:72" ht="15.75" thickBot="1">
      <c r="A58" s="2"/>
      <c r="B58" s="143"/>
      <c r="C58" s="142"/>
      <c r="D58" s="144" t="str">
        <f t="shared" si="0"/>
        <v/>
      </c>
      <c r="E58" s="149" t="str">
        <f t="shared" si="1"/>
        <v/>
      </c>
      <c r="F58" s="145" t="str">
        <f t="shared" si="2"/>
        <v/>
      </c>
      <c r="G58" s="145" t="str">
        <f t="shared" si="6"/>
        <v/>
      </c>
      <c r="H58" s="146" t="str">
        <f t="shared" si="3"/>
        <v/>
      </c>
      <c r="I58" s="148" t="str">
        <f t="shared" si="7"/>
        <v/>
      </c>
      <c r="J58" s="147" t="str">
        <f t="shared" si="5"/>
        <v/>
      </c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  <c r="AN58" s="84"/>
      <c r="AO58" s="84"/>
      <c r="AP58" s="84"/>
      <c r="AQ58" s="84"/>
      <c r="AR58" s="84"/>
      <c r="AS58" s="84"/>
      <c r="AT58" s="84"/>
      <c r="AU58" s="84"/>
      <c r="AV58" s="84"/>
      <c r="AW58" s="84"/>
      <c r="AX58" s="84"/>
      <c r="AY58" s="84"/>
      <c r="AZ58" s="84"/>
      <c r="BA58" s="84"/>
      <c r="BB58" s="84"/>
      <c r="BC58" s="84"/>
      <c r="BD58" s="84"/>
      <c r="BE58" s="84"/>
      <c r="BF58" s="84"/>
      <c r="BG58" s="84"/>
      <c r="BH58" s="84"/>
      <c r="BI58" s="84"/>
      <c r="BJ58" s="84"/>
      <c r="BK58" s="84"/>
      <c r="BL58" s="84"/>
      <c r="BM58" s="84"/>
      <c r="BN58" s="84"/>
      <c r="BO58" s="84"/>
      <c r="BP58" s="84"/>
      <c r="BQ58" s="84"/>
      <c r="BR58" s="84"/>
      <c r="BS58" s="84"/>
      <c r="BT58" s="84"/>
    </row>
    <row r="59" spans="1:72" ht="15.75" thickBot="1">
      <c r="A59" s="2"/>
      <c r="B59" s="143"/>
      <c r="C59" s="142"/>
      <c r="D59" s="144" t="str">
        <f t="shared" si="0"/>
        <v/>
      </c>
      <c r="E59" s="149" t="str">
        <f t="shared" si="1"/>
        <v/>
      </c>
      <c r="F59" s="145" t="str">
        <f t="shared" si="2"/>
        <v/>
      </c>
      <c r="G59" s="145" t="str">
        <f t="shared" si="6"/>
        <v/>
      </c>
      <c r="H59" s="146" t="str">
        <f t="shared" si="3"/>
        <v/>
      </c>
      <c r="I59" s="148" t="str">
        <f t="shared" si="7"/>
        <v/>
      </c>
      <c r="J59" s="147" t="str">
        <f t="shared" si="5"/>
        <v/>
      </c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  <c r="BH59" s="84"/>
      <c r="BI59" s="84"/>
      <c r="BJ59" s="84"/>
      <c r="BK59" s="84"/>
      <c r="BL59" s="84"/>
      <c r="BM59" s="84"/>
      <c r="BN59" s="84"/>
      <c r="BO59" s="84"/>
      <c r="BP59" s="84"/>
      <c r="BQ59" s="84"/>
      <c r="BR59" s="84"/>
      <c r="BS59" s="84"/>
      <c r="BT59" s="84"/>
    </row>
    <row r="60" spans="1:72" ht="15.75" thickBot="1">
      <c r="A60" s="2"/>
      <c r="B60" s="143"/>
      <c r="C60" s="142"/>
      <c r="D60" s="144" t="str">
        <f t="shared" si="0"/>
        <v/>
      </c>
      <c r="E60" s="149" t="str">
        <f t="shared" si="1"/>
        <v/>
      </c>
      <c r="F60" s="145" t="str">
        <f t="shared" si="2"/>
        <v/>
      </c>
      <c r="G60" s="145" t="str">
        <f t="shared" si="6"/>
        <v/>
      </c>
      <c r="H60" s="146" t="str">
        <f t="shared" si="3"/>
        <v/>
      </c>
      <c r="I60" s="148" t="str">
        <f t="shared" si="7"/>
        <v/>
      </c>
      <c r="J60" s="147" t="str">
        <f t="shared" si="5"/>
        <v/>
      </c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  <c r="AO60" s="84"/>
      <c r="AP60" s="84"/>
      <c r="AQ60" s="84"/>
      <c r="AR60" s="84"/>
      <c r="AS60" s="84"/>
      <c r="AT60" s="84"/>
      <c r="AU60" s="84"/>
      <c r="AV60" s="84"/>
      <c r="AW60" s="84"/>
      <c r="AX60" s="84"/>
      <c r="AY60" s="84"/>
      <c r="AZ60" s="84"/>
      <c r="BA60" s="84"/>
      <c r="BB60" s="84"/>
      <c r="BC60" s="84"/>
      <c r="BD60" s="84"/>
      <c r="BE60" s="84"/>
      <c r="BF60" s="84"/>
      <c r="BG60" s="84"/>
      <c r="BH60" s="84"/>
      <c r="BI60" s="84"/>
      <c r="BJ60" s="84"/>
      <c r="BK60" s="84"/>
      <c r="BL60" s="84"/>
      <c r="BM60" s="84"/>
      <c r="BN60" s="84"/>
      <c r="BO60" s="84"/>
      <c r="BP60" s="84"/>
      <c r="BQ60" s="84"/>
      <c r="BR60" s="84"/>
      <c r="BS60" s="84"/>
      <c r="BT60" s="84"/>
    </row>
    <row r="61" spans="1:72" ht="15.75" thickBot="1">
      <c r="A61" s="2"/>
      <c r="B61" s="143"/>
      <c r="C61" s="142"/>
      <c r="D61" s="144" t="str">
        <f t="shared" si="0"/>
        <v/>
      </c>
      <c r="E61" s="149" t="str">
        <f t="shared" si="1"/>
        <v/>
      </c>
      <c r="F61" s="145" t="str">
        <f t="shared" si="2"/>
        <v/>
      </c>
      <c r="G61" s="145" t="str">
        <f t="shared" si="6"/>
        <v/>
      </c>
      <c r="H61" s="146" t="str">
        <f t="shared" si="3"/>
        <v/>
      </c>
      <c r="I61" s="148" t="str">
        <f t="shared" si="7"/>
        <v/>
      </c>
      <c r="J61" s="147" t="str">
        <f t="shared" si="5"/>
        <v/>
      </c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  <c r="AO61" s="84"/>
      <c r="AP61" s="84"/>
      <c r="AQ61" s="84"/>
      <c r="AR61" s="84"/>
      <c r="AS61" s="84"/>
      <c r="AT61" s="84"/>
      <c r="AU61" s="84"/>
      <c r="AV61" s="84"/>
      <c r="AW61" s="84"/>
      <c r="AX61" s="84"/>
      <c r="AY61" s="84"/>
      <c r="AZ61" s="84"/>
      <c r="BA61" s="84"/>
      <c r="BB61" s="84"/>
      <c r="BC61" s="84"/>
      <c r="BD61" s="84"/>
      <c r="BE61" s="84"/>
      <c r="BF61" s="84"/>
      <c r="BG61" s="84"/>
      <c r="BH61" s="84"/>
      <c r="BI61" s="84"/>
      <c r="BJ61" s="84"/>
      <c r="BK61" s="84"/>
      <c r="BL61" s="84"/>
      <c r="BM61" s="84"/>
      <c r="BN61" s="84"/>
      <c r="BO61" s="84"/>
      <c r="BP61" s="84"/>
      <c r="BQ61" s="84"/>
      <c r="BR61" s="84"/>
      <c r="BS61" s="84"/>
      <c r="BT61" s="84"/>
    </row>
    <row r="62" spans="1:72" ht="15.75" thickBot="1">
      <c r="A62" s="2"/>
      <c r="B62" s="143"/>
      <c r="C62" s="142"/>
      <c r="D62" s="144" t="str">
        <f t="shared" si="0"/>
        <v/>
      </c>
      <c r="E62" s="149" t="str">
        <f t="shared" si="1"/>
        <v/>
      </c>
      <c r="F62" s="145" t="str">
        <f t="shared" si="2"/>
        <v/>
      </c>
      <c r="G62" s="145" t="str">
        <f t="shared" si="6"/>
        <v/>
      </c>
      <c r="H62" s="146" t="str">
        <f t="shared" si="3"/>
        <v/>
      </c>
      <c r="I62" s="148" t="str">
        <f t="shared" si="7"/>
        <v/>
      </c>
      <c r="J62" s="147" t="str">
        <f t="shared" si="5"/>
        <v/>
      </c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  <c r="AO62" s="84"/>
      <c r="AP62" s="84"/>
      <c r="AQ62" s="84"/>
      <c r="AR62" s="84"/>
      <c r="AS62" s="84"/>
      <c r="AT62" s="84"/>
      <c r="AU62" s="84"/>
      <c r="AV62" s="84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  <c r="BH62" s="84"/>
      <c r="BI62" s="84"/>
      <c r="BJ62" s="84"/>
      <c r="BK62" s="84"/>
      <c r="BL62" s="84"/>
      <c r="BM62" s="84"/>
      <c r="BN62" s="84"/>
      <c r="BO62" s="84"/>
      <c r="BP62" s="84"/>
      <c r="BQ62" s="84"/>
      <c r="BR62" s="84"/>
      <c r="BS62" s="84"/>
      <c r="BT62" s="84"/>
    </row>
    <row r="63" spans="1:72" ht="15.75" thickBot="1">
      <c r="A63" s="2"/>
      <c r="B63" s="143"/>
      <c r="C63" s="142"/>
      <c r="D63" s="144" t="str">
        <f t="shared" si="0"/>
        <v/>
      </c>
      <c r="E63" s="149" t="str">
        <f t="shared" si="1"/>
        <v/>
      </c>
      <c r="F63" s="145" t="str">
        <f t="shared" si="2"/>
        <v/>
      </c>
      <c r="G63" s="145" t="str">
        <f t="shared" si="6"/>
        <v/>
      </c>
      <c r="H63" s="146" t="str">
        <f t="shared" si="3"/>
        <v/>
      </c>
      <c r="I63" s="148" t="str">
        <f t="shared" si="7"/>
        <v/>
      </c>
      <c r="J63" s="147" t="str">
        <f t="shared" si="5"/>
        <v/>
      </c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84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  <c r="BH63" s="84"/>
      <c r="BI63" s="84"/>
      <c r="BJ63" s="84"/>
      <c r="BK63" s="84"/>
      <c r="BL63" s="84"/>
      <c r="BM63" s="84"/>
      <c r="BN63" s="84"/>
      <c r="BO63" s="84"/>
      <c r="BP63" s="84"/>
      <c r="BQ63" s="84"/>
      <c r="BR63" s="84"/>
      <c r="BS63" s="84"/>
      <c r="BT63" s="84"/>
    </row>
    <row r="64" spans="1:72" ht="15.75" thickBot="1">
      <c r="A64" s="2"/>
      <c r="B64" s="143"/>
      <c r="C64" s="142"/>
      <c r="D64" s="144" t="str">
        <f t="shared" si="0"/>
        <v/>
      </c>
      <c r="E64" s="149" t="str">
        <f t="shared" si="1"/>
        <v/>
      </c>
      <c r="F64" s="145" t="str">
        <f t="shared" si="2"/>
        <v/>
      </c>
      <c r="G64" s="145" t="str">
        <f t="shared" si="6"/>
        <v/>
      </c>
      <c r="H64" s="146" t="str">
        <f t="shared" si="3"/>
        <v/>
      </c>
      <c r="I64" s="148" t="str">
        <f t="shared" si="7"/>
        <v/>
      </c>
      <c r="J64" s="147" t="str">
        <f t="shared" si="5"/>
        <v/>
      </c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  <c r="BH64" s="84"/>
      <c r="BI64" s="84"/>
      <c r="BJ64" s="84"/>
      <c r="BK64" s="84"/>
      <c r="BL64" s="84"/>
      <c r="BM64" s="84"/>
      <c r="BN64" s="84"/>
      <c r="BO64" s="84"/>
      <c r="BP64" s="84"/>
      <c r="BQ64" s="84"/>
      <c r="BR64" s="84"/>
      <c r="BS64" s="84"/>
      <c r="BT64" s="84"/>
    </row>
    <row r="65" spans="1:72" ht="15.75" thickBot="1">
      <c r="A65" s="2"/>
      <c r="B65" s="143"/>
      <c r="C65" s="142"/>
      <c r="D65" s="144" t="str">
        <f t="shared" si="0"/>
        <v/>
      </c>
      <c r="E65" s="149" t="str">
        <f t="shared" si="1"/>
        <v/>
      </c>
      <c r="F65" s="145" t="str">
        <f t="shared" si="2"/>
        <v/>
      </c>
      <c r="G65" s="145" t="str">
        <f t="shared" si="6"/>
        <v/>
      </c>
      <c r="H65" s="146" t="str">
        <f t="shared" si="3"/>
        <v/>
      </c>
      <c r="I65" s="148" t="str">
        <f t="shared" si="7"/>
        <v/>
      </c>
      <c r="J65" s="147" t="str">
        <f t="shared" si="5"/>
        <v/>
      </c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  <c r="AN65" s="84"/>
      <c r="AO65" s="84"/>
      <c r="AP65" s="84"/>
      <c r="AQ65" s="84"/>
      <c r="AR65" s="84"/>
      <c r="AS65" s="84"/>
      <c r="AT65" s="84"/>
      <c r="AU65" s="84"/>
      <c r="AV65" s="84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  <c r="BH65" s="84"/>
      <c r="BI65" s="84"/>
      <c r="BJ65" s="84"/>
      <c r="BK65" s="84"/>
      <c r="BL65" s="84"/>
      <c r="BM65" s="84"/>
      <c r="BN65" s="84"/>
      <c r="BO65" s="84"/>
      <c r="BP65" s="84"/>
      <c r="BQ65" s="84"/>
      <c r="BR65" s="84"/>
      <c r="BS65" s="84"/>
      <c r="BT65" s="84"/>
    </row>
    <row r="66" spans="1:72" ht="15.75" thickBot="1">
      <c r="A66" s="2"/>
      <c r="B66" s="143"/>
      <c r="C66" s="142"/>
      <c r="D66" s="144" t="str">
        <f t="shared" si="0"/>
        <v/>
      </c>
      <c r="E66" s="149" t="str">
        <f t="shared" si="1"/>
        <v/>
      </c>
      <c r="F66" s="145" t="str">
        <f t="shared" si="2"/>
        <v/>
      </c>
      <c r="G66" s="145" t="str">
        <f t="shared" si="6"/>
        <v/>
      </c>
      <c r="H66" s="146" t="str">
        <f t="shared" si="3"/>
        <v/>
      </c>
      <c r="I66" s="148" t="str">
        <f t="shared" si="7"/>
        <v/>
      </c>
      <c r="J66" s="147" t="str">
        <f t="shared" si="5"/>
        <v/>
      </c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  <c r="AL66" s="84"/>
      <c r="AM66" s="84"/>
      <c r="AN66" s="84"/>
      <c r="AO66" s="84"/>
      <c r="AP66" s="84"/>
      <c r="AQ66" s="84"/>
      <c r="AR66" s="84"/>
      <c r="AS66" s="84"/>
      <c r="AT66" s="84"/>
      <c r="AU66" s="84"/>
      <c r="AV66" s="84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  <c r="BH66" s="84"/>
      <c r="BI66" s="84"/>
      <c r="BJ66" s="84"/>
      <c r="BK66" s="84"/>
      <c r="BL66" s="84"/>
      <c r="BM66" s="84"/>
      <c r="BN66" s="84"/>
      <c r="BO66" s="84"/>
      <c r="BP66" s="84"/>
      <c r="BQ66" s="84"/>
      <c r="BR66" s="84"/>
      <c r="BS66" s="84"/>
      <c r="BT66" s="84"/>
    </row>
    <row r="67" spans="1:72" ht="15.75" thickBot="1">
      <c r="A67" s="2"/>
      <c r="B67" s="143"/>
      <c r="C67" s="142"/>
      <c r="D67" s="144" t="str">
        <f t="shared" si="0"/>
        <v/>
      </c>
      <c r="E67" s="149" t="str">
        <f t="shared" si="1"/>
        <v/>
      </c>
      <c r="F67" s="145" t="str">
        <f t="shared" si="2"/>
        <v/>
      </c>
      <c r="G67" s="145" t="str">
        <f t="shared" si="6"/>
        <v/>
      </c>
      <c r="H67" s="146" t="str">
        <f t="shared" si="3"/>
        <v/>
      </c>
      <c r="I67" s="148" t="str">
        <f t="shared" si="7"/>
        <v/>
      </c>
      <c r="J67" s="147" t="str">
        <f t="shared" si="5"/>
        <v/>
      </c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  <c r="AN67" s="84"/>
      <c r="AO67" s="84"/>
      <c r="AP67" s="84"/>
      <c r="AQ67" s="84"/>
      <c r="AR67" s="84"/>
      <c r="AS67" s="84"/>
      <c r="AT67" s="84"/>
      <c r="AU67" s="84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  <c r="BN67" s="84"/>
      <c r="BO67" s="84"/>
      <c r="BP67" s="84"/>
      <c r="BQ67" s="84"/>
      <c r="BR67" s="84"/>
      <c r="BS67" s="84"/>
      <c r="BT67" s="84"/>
    </row>
    <row r="68" spans="1:72" ht="15.75" thickBot="1">
      <c r="A68" s="2"/>
      <c r="B68" s="143"/>
      <c r="C68" s="142"/>
      <c r="D68" s="144" t="str">
        <f t="shared" si="0"/>
        <v/>
      </c>
      <c r="E68" s="149" t="str">
        <f t="shared" si="1"/>
        <v/>
      </c>
      <c r="F68" s="145" t="str">
        <f t="shared" si="2"/>
        <v/>
      </c>
      <c r="G68" s="145" t="str">
        <f t="shared" si="6"/>
        <v/>
      </c>
      <c r="H68" s="146" t="str">
        <f t="shared" si="3"/>
        <v/>
      </c>
      <c r="I68" s="148" t="str">
        <f t="shared" si="7"/>
        <v/>
      </c>
      <c r="J68" s="147" t="str">
        <f t="shared" si="5"/>
        <v/>
      </c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  <c r="AN68" s="84"/>
      <c r="AO68" s="84"/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  <c r="BH68" s="84"/>
      <c r="BI68" s="84"/>
      <c r="BJ68" s="84"/>
      <c r="BK68" s="84"/>
      <c r="BL68" s="84"/>
      <c r="BM68" s="84"/>
      <c r="BN68" s="84"/>
      <c r="BO68" s="84"/>
      <c r="BP68" s="84"/>
      <c r="BQ68" s="84"/>
      <c r="BR68" s="84"/>
      <c r="BS68" s="84"/>
      <c r="BT68" s="84"/>
    </row>
    <row r="69" spans="1:72" ht="15.75" thickBot="1">
      <c r="A69" s="2"/>
      <c r="B69" s="143"/>
      <c r="C69" s="142"/>
      <c r="D69" s="144" t="str">
        <f t="shared" si="0"/>
        <v/>
      </c>
      <c r="E69" s="149" t="str">
        <f t="shared" si="1"/>
        <v/>
      </c>
      <c r="F69" s="145" t="str">
        <f t="shared" si="2"/>
        <v/>
      </c>
      <c r="G69" s="145" t="str">
        <f t="shared" si="6"/>
        <v/>
      </c>
      <c r="H69" s="146" t="str">
        <f t="shared" si="3"/>
        <v/>
      </c>
      <c r="I69" s="148" t="str">
        <f t="shared" si="7"/>
        <v/>
      </c>
      <c r="J69" s="147" t="str">
        <f t="shared" si="5"/>
        <v/>
      </c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  <c r="AN69" s="84"/>
      <c r="AO69" s="84"/>
      <c r="AP69" s="84"/>
      <c r="AQ69" s="84"/>
      <c r="AR69" s="84"/>
      <c r="AS69" s="84"/>
      <c r="AT69" s="84"/>
      <c r="AU69" s="84"/>
      <c r="AV69" s="84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  <c r="BH69" s="84"/>
      <c r="BI69" s="84"/>
      <c r="BJ69" s="84"/>
      <c r="BK69" s="84"/>
      <c r="BL69" s="84"/>
      <c r="BM69" s="84"/>
      <c r="BN69" s="84"/>
      <c r="BO69" s="84"/>
      <c r="BP69" s="84"/>
      <c r="BQ69" s="84"/>
      <c r="BR69" s="84"/>
      <c r="BS69" s="84"/>
      <c r="BT69" s="84"/>
    </row>
    <row r="70" spans="1:72" ht="15.75" thickBot="1">
      <c r="A70" s="2"/>
      <c r="B70" s="143"/>
      <c r="C70" s="142"/>
      <c r="D70" s="144" t="str">
        <f t="shared" si="0"/>
        <v/>
      </c>
      <c r="E70" s="149" t="str">
        <f t="shared" si="1"/>
        <v/>
      </c>
      <c r="F70" s="145" t="str">
        <f t="shared" si="2"/>
        <v/>
      </c>
      <c r="G70" s="145" t="str">
        <f t="shared" si="6"/>
        <v/>
      </c>
      <c r="H70" s="146" t="str">
        <f t="shared" si="3"/>
        <v/>
      </c>
      <c r="I70" s="148" t="str">
        <f t="shared" si="7"/>
        <v/>
      </c>
      <c r="J70" s="147" t="str">
        <f t="shared" si="5"/>
        <v/>
      </c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84"/>
      <c r="BN70" s="84"/>
      <c r="BO70" s="84"/>
      <c r="BP70" s="84"/>
      <c r="BQ70" s="84"/>
      <c r="BR70" s="84"/>
      <c r="BS70" s="84"/>
      <c r="BT70" s="84"/>
    </row>
    <row r="71" spans="1:72" ht="15.75" thickBot="1">
      <c r="A71" s="2"/>
      <c r="B71" s="143"/>
      <c r="C71" s="142"/>
      <c r="D71" s="144" t="str">
        <f t="shared" si="0"/>
        <v/>
      </c>
      <c r="E71" s="149" t="str">
        <f t="shared" si="1"/>
        <v/>
      </c>
      <c r="F71" s="145" t="str">
        <f t="shared" si="2"/>
        <v/>
      </c>
      <c r="G71" s="145" t="str">
        <f t="shared" si="6"/>
        <v/>
      </c>
      <c r="H71" s="146" t="str">
        <f t="shared" si="3"/>
        <v/>
      </c>
      <c r="I71" s="148" t="str">
        <f t="shared" si="7"/>
        <v/>
      </c>
      <c r="J71" s="147" t="str">
        <f t="shared" si="5"/>
        <v/>
      </c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4"/>
      <c r="AL71" s="84"/>
      <c r="AM71" s="84"/>
      <c r="AN71" s="84"/>
      <c r="AO71" s="84"/>
      <c r="AP71" s="84"/>
      <c r="AQ71" s="84"/>
      <c r="AR71" s="84"/>
      <c r="AS71" s="84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84"/>
      <c r="BS71" s="84"/>
      <c r="BT71" s="84"/>
    </row>
    <row r="72" spans="1:72" ht="15.75" thickBot="1">
      <c r="A72" s="2"/>
      <c r="B72" s="143"/>
      <c r="C72" s="142"/>
      <c r="D72" s="144" t="str">
        <f t="shared" si="0"/>
        <v/>
      </c>
      <c r="E72" s="149" t="str">
        <f t="shared" si="1"/>
        <v/>
      </c>
      <c r="F72" s="145" t="str">
        <f t="shared" si="2"/>
        <v/>
      </c>
      <c r="G72" s="145" t="str">
        <f t="shared" si="6"/>
        <v/>
      </c>
      <c r="H72" s="146" t="str">
        <f t="shared" si="3"/>
        <v/>
      </c>
      <c r="I72" s="148" t="str">
        <f t="shared" ref="I72:I103" si="8">IF(J72&lt;0,0,J72)</f>
        <v/>
      </c>
      <c r="J72" s="147" t="str">
        <f t="shared" si="5"/>
        <v/>
      </c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  <c r="AO72" s="84"/>
      <c r="AP72" s="84"/>
      <c r="AQ72" s="84"/>
      <c r="AR72" s="84"/>
      <c r="AS72" s="84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4"/>
      <c r="BS72" s="84"/>
      <c r="BT72" s="84"/>
    </row>
    <row r="73" spans="1:72" ht="15.75" thickBot="1">
      <c r="A73" s="2"/>
      <c r="B73" s="143"/>
      <c r="C73" s="142"/>
      <c r="D73" s="144" t="str">
        <f t="shared" ref="D73:D115" si="9">IF(C73&gt;0,B73/C73,"")</f>
        <v/>
      </c>
      <c r="E73" s="149" t="str">
        <f t="shared" ref="E73:E115" si="10">IF(B73="","",SQRT(G73/C73))</f>
        <v/>
      </c>
      <c r="F73" s="145" t="str">
        <f t="shared" ref="F73:F115" si="11">D73</f>
        <v/>
      </c>
      <c r="G73" s="145" t="str">
        <f t="shared" ref="G73:G115" si="12">IF(B73="","",SUM($B$8:$B$116)/SUM($C$8:$C$116))</f>
        <v/>
      </c>
      <c r="H73" s="146" t="str">
        <f t="shared" ref="H73:H115" si="13">IF(B73="","",G73+3*E73)</f>
        <v/>
      </c>
      <c r="I73" s="148" t="str">
        <f t="shared" si="8"/>
        <v/>
      </c>
      <c r="J73" s="147" t="str">
        <f t="shared" ref="J73:J115" si="14">IF(B73="","",G73-3*E73)</f>
        <v/>
      </c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  <c r="AN73" s="84"/>
      <c r="AO73" s="84"/>
      <c r="AP73" s="84"/>
      <c r="AQ73" s="84"/>
      <c r="AR73" s="84"/>
      <c r="AS73" s="84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4"/>
      <c r="BS73" s="84"/>
      <c r="BT73" s="84"/>
    </row>
    <row r="74" spans="1:72" ht="15.75" thickBot="1">
      <c r="A74" s="2"/>
      <c r="B74" s="143"/>
      <c r="C74" s="142"/>
      <c r="D74" s="144" t="str">
        <f t="shared" si="9"/>
        <v/>
      </c>
      <c r="E74" s="149" t="str">
        <f t="shared" si="10"/>
        <v/>
      </c>
      <c r="F74" s="145" t="str">
        <f t="shared" si="11"/>
        <v/>
      </c>
      <c r="G74" s="145" t="str">
        <f t="shared" si="12"/>
        <v/>
      </c>
      <c r="H74" s="146" t="str">
        <f t="shared" si="13"/>
        <v/>
      </c>
      <c r="I74" s="148" t="str">
        <f t="shared" si="8"/>
        <v/>
      </c>
      <c r="J74" s="147" t="str">
        <f t="shared" si="14"/>
        <v/>
      </c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  <c r="AN74" s="84"/>
      <c r="AO74" s="84"/>
      <c r="AP74" s="84"/>
      <c r="AQ74" s="84"/>
      <c r="AR74" s="84"/>
      <c r="AS74" s="84"/>
      <c r="AT74" s="84"/>
      <c r="AU74" s="84"/>
      <c r="AV74" s="84"/>
      <c r="AW74" s="84"/>
      <c r="AX74" s="84"/>
      <c r="AY74" s="84"/>
      <c r="AZ74" s="84"/>
      <c r="BA74" s="84"/>
      <c r="BB74" s="84"/>
      <c r="BC74" s="84"/>
      <c r="BD74" s="84"/>
      <c r="BE74" s="84"/>
      <c r="BF74" s="84"/>
      <c r="BG74" s="84"/>
      <c r="BH74" s="84"/>
      <c r="BI74" s="84"/>
      <c r="BJ74" s="84"/>
      <c r="BK74" s="84"/>
      <c r="BL74" s="84"/>
      <c r="BM74" s="84"/>
      <c r="BN74" s="84"/>
      <c r="BO74" s="84"/>
      <c r="BP74" s="84"/>
      <c r="BQ74" s="84"/>
      <c r="BR74" s="84"/>
      <c r="BS74" s="84"/>
      <c r="BT74" s="84"/>
    </row>
    <row r="75" spans="1:72" ht="15.75" thickBot="1">
      <c r="A75" s="2"/>
      <c r="B75" s="143"/>
      <c r="C75" s="142"/>
      <c r="D75" s="144" t="str">
        <f t="shared" si="9"/>
        <v/>
      </c>
      <c r="E75" s="149" t="str">
        <f t="shared" si="10"/>
        <v/>
      </c>
      <c r="F75" s="145" t="str">
        <f t="shared" si="11"/>
        <v/>
      </c>
      <c r="G75" s="145" t="str">
        <f t="shared" si="12"/>
        <v/>
      </c>
      <c r="H75" s="146" t="str">
        <f t="shared" si="13"/>
        <v/>
      </c>
      <c r="I75" s="148" t="str">
        <f t="shared" si="8"/>
        <v/>
      </c>
      <c r="J75" s="147" t="str">
        <f t="shared" si="14"/>
        <v/>
      </c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  <c r="AL75" s="84"/>
      <c r="AM75" s="84"/>
      <c r="AN75" s="84"/>
      <c r="AO75" s="84"/>
      <c r="AP75" s="84"/>
      <c r="AQ75" s="84"/>
      <c r="AR75" s="84"/>
      <c r="AS75" s="84"/>
      <c r="AT75" s="84"/>
      <c r="AU75" s="84"/>
      <c r="AV75" s="84"/>
      <c r="AW75" s="84"/>
      <c r="AX75" s="84"/>
      <c r="AY75" s="84"/>
      <c r="AZ75" s="84"/>
      <c r="BA75" s="84"/>
      <c r="BB75" s="84"/>
      <c r="BC75" s="84"/>
      <c r="BD75" s="84"/>
      <c r="BE75" s="84"/>
      <c r="BF75" s="84"/>
      <c r="BG75" s="84"/>
      <c r="BH75" s="84"/>
      <c r="BI75" s="84"/>
      <c r="BJ75" s="84"/>
      <c r="BK75" s="84"/>
      <c r="BL75" s="84"/>
      <c r="BM75" s="84"/>
      <c r="BN75" s="84"/>
      <c r="BO75" s="84"/>
      <c r="BP75" s="84"/>
      <c r="BQ75" s="84"/>
      <c r="BR75" s="84"/>
      <c r="BS75" s="84"/>
      <c r="BT75" s="84"/>
    </row>
    <row r="76" spans="1:72" ht="15.75" thickBot="1">
      <c r="A76" s="2"/>
      <c r="B76" s="143"/>
      <c r="C76" s="142"/>
      <c r="D76" s="144" t="str">
        <f t="shared" si="9"/>
        <v/>
      </c>
      <c r="E76" s="149" t="str">
        <f t="shared" si="10"/>
        <v/>
      </c>
      <c r="F76" s="145" t="str">
        <f t="shared" si="11"/>
        <v/>
      </c>
      <c r="G76" s="145" t="str">
        <f t="shared" si="12"/>
        <v/>
      </c>
      <c r="H76" s="146" t="str">
        <f t="shared" si="13"/>
        <v/>
      </c>
      <c r="I76" s="148" t="str">
        <f t="shared" si="8"/>
        <v/>
      </c>
      <c r="J76" s="147" t="str">
        <f t="shared" si="14"/>
        <v/>
      </c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  <c r="AN76" s="84"/>
      <c r="AO76" s="84"/>
      <c r="AP76" s="84"/>
      <c r="AQ76" s="84"/>
      <c r="AR76" s="84"/>
      <c r="AS76" s="84"/>
      <c r="AT76" s="84"/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BJ76" s="84"/>
      <c r="BK76" s="84"/>
      <c r="BL76" s="84"/>
      <c r="BM76" s="84"/>
      <c r="BN76" s="84"/>
      <c r="BO76" s="84"/>
      <c r="BP76" s="84"/>
      <c r="BQ76" s="84"/>
      <c r="BR76" s="84"/>
      <c r="BS76" s="84"/>
      <c r="BT76" s="84"/>
    </row>
    <row r="77" spans="1:72" ht="15.75" thickBot="1">
      <c r="A77" s="2"/>
      <c r="B77" s="143"/>
      <c r="C77" s="142"/>
      <c r="D77" s="144" t="str">
        <f t="shared" si="9"/>
        <v/>
      </c>
      <c r="E77" s="149" t="str">
        <f t="shared" si="10"/>
        <v/>
      </c>
      <c r="F77" s="145" t="str">
        <f t="shared" si="11"/>
        <v/>
      </c>
      <c r="G77" s="145" t="str">
        <f t="shared" si="12"/>
        <v/>
      </c>
      <c r="H77" s="146" t="str">
        <f t="shared" si="13"/>
        <v/>
      </c>
      <c r="I77" s="148" t="str">
        <f t="shared" si="8"/>
        <v/>
      </c>
      <c r="J77" s="147" t="str">
        <f t="shared" si="14"/>
        <v/>
      </c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/>
      <c r="AP77" s="84"/>
      <c r="AQ77" s="84"/>
      <c r="AR77" s="84"/>
      <c r="AS77" s="84"/>
      <c r="AT77" s="84"/>
      <c r="AU77" s="84"/>
      <c r="AV77" s="84"/>
      <c r="AW77" s="84"/>
      <c r="AX77" s="84"/>
      <c r="AY77" s="84"/>
      <c r="AZ77" s="84"/>
      <c r="BA77" s="84"/>
      <c r="BB77" s="84"/>
      <c r="BC77" s="84"/>
      <c r="BD77" s="84"/>
      <c r="BE77" s="84"/>
      <c r="BF77" s="84"/>
      <c r="BG77" s="84"/>
      <c r="BH77" s="84"/>
      <c r="BI77" s="84"/>
      <c r="BJ77" s="84"/>
      <c r="BK77" s="84"/>
      <c r="BL77" s="84"/>
      <c r="BM77" s="84"/>
      <c r="BN77" s="84"/>
      <c r="BO77" s="84"/>
      <c r="BP77" s="84"/>
      <c r="BQ77" s="84"/>
      <c r="BR77" s="84"/>
      <c r="BS77" s="84"/>
      <c r="BT77" s="84"/>
    </row>
    <row r="78" spans="1:72" ht="15.75" thickBot="1">
      <c r="A78" s="2"/>
      <c r="B78" s="143"/>
      <c r="C78" s="142"/>
      <c r="D78" s="144" t="str">
        <f t="shared" si="9"/>
        <v/>
      </c>
      <c r="E78" s="149" t="str">
        <f t="shared" si="10"/>
        <v/>
      </c>
      <c r="F78" s="145" t="str">
        <f t="shared" si="11"/>
        <v/>
      </c>
      <c r="G78" s="145" t="str">
        <f t="shared" si="12"/>
        <v/>
      </c>
      <c r="H78" s="146" t="str">
        <f t="shared" si="13"/>
        <v/>
      </c>
      <c r="I78" s="148" t="str">
        <f t="shared" si="8"/>
        <v/>
      </c>
      <c r="J78" s="147" t="str">
        <f t="shared" si="14"/>
        <v/>
      </c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4"/>
      <c r="AL78" s="84"/>
      <c r="AM78" s="84"/>
      <c r="AN78" s="84"/>
      <c r="AO78" s="84"/>
      <c r="AP78" s="84"/>
      <c r="AQ78" s="84"/>
      <c r="AR78" s="84"/>
      <c r="AS78" s="84"/>
      <c r="AT78" s="84"/>
      <c r="AU78" s="84"/>
      <c r="AV78" s="84"/>
      <c r="AW78" s="84"/>
      <c r="AX78" s="84"/>
      <c r="AY78" s="84"/>
      <c r="AZ78" s="84"/>
      <c r="BA78" s="84"/>
      <c r="BB78" s="84"/>
      <c r="BC78" s="84"/>
      <c r="BD78" s="84"/>
      <c r="BE78" s="84"/>
      <c r="BF78" s="84"/>
      <c r="BG78" s="84"/>
      <c r="BH78" s="84"/>
      <c r="BI78" s="84"/>
      <c r="BJ78" s="84"/>
      <c r="BK78" s="84"/>
      <c r="BL78" s="84"/>
      <c r="BM78" s="84"/>
      <c r="BN78" s="84"/>
      <c r="BO78" s="84"/>
      <c r="BP78" s="84"/>
      <c r="BQ78" s="84"/>
      <c r="BR78" s="84"/>
      <c r="BS78" s="84"/>
      <c r="BT78" s="84"/>
    </row>
    <row r="79" spans="1:72" ht="15.75" thickBot="1">
      <c r="A79" s="2"/>
      <c r="B79" s="143"/>
      <c r="C79" s="142"/>
      <c r="D79" s="144" t="str">
        <f t="shared" si="9"/>
        <v/>
      </c>
      <c r="E79" s="149" t="str">
        <f t="shared" si="10"/>
        <v/>
      </c>
      <c r="F79" s="145" t="str">
        <f t="shared" si="11"/>
        <v/>
      </c>
      <c r="G79" s="145" t="str">
        <f t="shared" si="12"/>
        <v/>
      </c>
      <c r="H79" s="146" t="str">
        <f t="shared" si="13"/>
        <v/>
      </c>
      <c r="I79" s="148" t="str">
        <f t="shared" si="8"/>
        <v/>
      </c>
      <c r="J79" s="147" t="str">
        <f t="shared" si="14"/>
        <v/>
      </c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  <c r="AO79" s="84"/>
      <c r="AP79" s="84"/>
      <c r="AQ79" s="84"/>
      <c r="AR79" s="84"/>
      <c r="AS79" s="84"/>
      <c r="AT79" s="84"/>
      <c r="AU79" s="84"/>
      <c r="AV79" s="84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  <c r="BH79" s="84"/>
      <c r="BI79" s="84"/>
      <c r="BJ79" s="84"/>
      <c r="BK79" s="84"/>
      <c r="BL79" s="84"/>
      <c r="BM79" s="84"/>
      <c r="BN79" s="84"/>
      <c r="BO79" s="84"/>
      <c r="BP79" s="84"/>
      <c r="BQ79" s="84"/>
      <c r="BR79" s="84"/>
      <c r="BS79" s="84"/>
      <c r="BT79" s="84"/>
    </row>
    <row r="80" spans="1:72" ht="15.75" thickBot="1">
      <c r="A80" s="2"/>
      <c r="B80" s="143"/>
      <c r="C80" s="142"/>
      <c r="D80" s="144" t="str">
        <f t="shared" si="9"/>
        <v/>
      </c>
      <c r="E80" s="149" t="str">
        <f t="shared" si="10"/>
        <v/>
      </c>
      <c r="F80" s="145" t="str">
        <f t="shared" si="11"/>
        <v/>
      </c>
      <c r="G80" s="145" t="str">
        <f t="shared" si="12"/>
        <v/>
      </c>
      <c r="H80" s="146" t="str">
        <f t="shared" si="13"/>
        <v/>
      </c>
      <c r="I80" s="148" t="str">
        <f t="shared" si="8"/>
        <v/>
      </c>
      <c r="J80" s="147" t="str">
        <f t="shared" si="14"/>
        <v/>
      </c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  <c r="AN80" s="84"/>
      <c r="AO80" s="84"/>
      <c r="AP80" s="84"/>
      <c r="AQ80" s="84"/>
      <c r="AR80" s="84"/>
      <c r="AS80" s="84"/>
      <c r="AT80" s="84"/>
      <c r="AU80" s="84"/>
      <c r="AV80" s="84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  <c r="BH80" s="84"/>
      <c r="BI80" s="84"/>
      <c r="BJ80" s="84"/>
      <c r="BK80" s="84"/>
      <c r="BL80" s="84"/>
      <c r="BM80" s="84"/>
      <c r="BN80" s="84"/>
      <c r="BO80" s="84"/>
      <c r="BP80" s="84"/>
      <c r="BQ80" s="84"/>
      <c r="BR80" s="84"/>
      <c r="BS80" s="84"/>
      <c r="BT80" s="84"/>
    </row>
    <row r="81" spans="1:72" ht="15.75" thickBot="1">
      <c r="A81" s="2"/>
      <c r="B81" s="143"/>
      <c r="C81" s="142"/>
      <c r="D81" s="144" t="str">
        <f t="shared" si="9"/>
        <v/>
      </c>
      <c r="E81" s="149" t="str">
        <f t="shared" si="10"/>
        <v/>
      </c>
      <c r="F81" s="145" t="str">
        <f t="shared" si="11"/>
        <v/>
      </c>
      <c r="G81" s="145" t="str">
        <f t="shared" si="12"/>
        <v/>
      </c>
      <c r="H81" s="146" t="str">
        <f t="shared" si="13"/>
        <v/>
      </c>
      <c r="I81" s="148" t="str">
        <f t="shared" si="8"/>
        <v/>
      </c>
      <c r="J81" s="147" t="str">
        <f t="shared" si="14"/>
        <v/>
      </c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  <c r="AO81" s="84"/>
      <c r="AP81" s="84"/>
      <c r="AQ81" s="84"/>
      <c r="AR81" s="84"/>
      <c r="AS81" s="84"/>
      <c r="AT81" s="84"/>
      <c r="AU81" s="84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  <c r="BN81" s="84"/>
      <c r="BO81" s="84"/>
      <c r="BP81" s="84"/>
      <c r="BQ81" s="84"/>
      <c r="BR81" s="84"/>
      <c r="BS81" s="84"/>
      <c r="BT81" s="84"/>
    </row>
    <row r="82" spans="1:72" ht="15.75" thickBot="1">
      <c r="A82" s="2"/>
      <c r="B82" s="143"/>
      <c r="C82" s="142"/>
      <c r="D82" s="144" t="str">
        <f t="shared" si="9"/>
        <v/>
      </c>
      <c r="E82" s="149" t="str">
        <f t="shared" si="10"/>
        <v/>
      </c>
      <c r="F82" s="145" t="str">
        <f t="shared" si="11"/>
        <v/>
      </c>
      <c r="G82" s="145" t="str">
        <f t="shared" si="12"/>
        <v/>
      </c>
      <c r="H82" s="146" t="str">
        <f t="shared" si="13"/>
        <v/>
      </c>
      <c r="I82" s="148" t="str">
        <f t="shared" si="8"/>
        <v/>
      </c>
      <c r="J82" s="147" t="str">
        <f t="shared" si="14"/>
        <v/>
      </c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  <c r="AO82" s="84"/>
      <c r="AP82" s="84"/>
      <c r="AQ82" s="84"/>
      <c r="AR82" s="84"/>
      <c r="AS82" s="84"/>
      <c r="AT82" s="84"/>
      <c r="AU82" s="84"/>
      <c r="AV82" s="84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  <c r="BN82" s="84"/>
      <c r="BO82" s="84"/>
      <c r="BP82" s="84"/>
      <c r="BQ82" s="84"/>
      <c r="BR82" s="84"/>
      <c r="BS82" s="84"/>
      <c r="BT82" s="84"/>
    </row>
    <row r="83" spans="1:72" ht="15.75" thickBot="1">
      <c r="A83" s="2"/>
      <c r="B83" s="143"/>
      <c r="C83" s="142"/>
      <c r="D83" s="144" t="str">
        <f t="shared" si="9"/>
        <v/>
      </c>
      <c r="E83" s="149" t="str">
        <f t="shared" si="10"/>
        <v/>
      </c>
      <c r="F83" s="145" t="str">
        <f t="shared" si="11"/>
        <v/>
      </c>
      <c r="G83" s="145" t="str">
        <f t="shared" si="12"/>
        <v/>
      </c>
      <c r="H83" s="146" t="str">
        <f t="shared" si="13"/>
        <v/>
      </c>
      <c r="I83" s="148" t="str">
        <f t="shared" si="8"/>
        <v/>
      </c>
      <c r="J83" s="147" t="str">
        <f t="shared" si="14"/>
        <v/>
      </c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  <c r="AC83" s="84"/>
      <c r="AD83" s="84"/>
      <c r="AE83" s="84"/>
      <c r="AF83" s="84"/>
      <c r="AG83" s="84"/>
      <c r="AH83" s="84"/>
      <c r="AI83" s="84"/>
      <c r="AJ83" s="84"/>
      <c r="AK83" s="84"/>
      <c r="AL83" s="84"/>
      <c r="AM83" s="84"/>
      <c r="AN83" s="84"/>
      <c r="AO83" s="84"/>
      <c r="AP83" s="84"/>
      <c r="AQ83" s="84"/>
      <c r="AR83" s="84"/>
      <c r="AS83" s="84"/>
      <c r="AT83" s="84"/>
      <c r="AU83" s="84"/>
      <c r="AV83" s="84"/>
      <c r="AW83" s="84"/>
      <c r="AX83" s="84"/>
      <c r="AY83" s="84"/>
      <c r="AZ83" s="84"/>
      <c r="BA83" s="84"/>
      <c r="BB83" s="84"/>
      <c r="BC83" s="84"/>
      <c r="BD83" s="84"/>
      <c r="BE83" s="84"/>
      <c r="BF83" s="84"/>
      <c r="BG83" s="84"/>
      <c r="BH83" s="84"/>
      <c r="BI83" s="84"/>
      <c r="BJ83" s="84"/>
      <c r="BK83" s="84"/>
      <c r="BL83" s="84"/>
      <c r="BM83" s="84"/>
      <c r="BN83" s="84"/>
      <c r="BO83" s="84"/>
      <c r="BP83" s="84"/>
      <c r="BQ83" s="84"/>
      <c r="BR83" s="84"/>
      <c r="BS83" s="84"/>
      <c r="BT83" s="84"/>
    </row>
    <row r="84" spans="1:72" ht="15.75" thickBot="1">
      <c r="A84" s="2"/>
      <c r="B84" s="143"/>
      <c r="C84" s="142"/>
      <c r="D84" s="144" t="str">
        <f t="shared" si="9"/>
        <v/>
      </c>
      <c r="E84" s="149" t="str">
        <f t="shared" si="10"/>
        <v/>
      </c>
      <c r="F84" s="145" t="str">
        <f t="shared" si="11"/>
        <v/>
      </c>
      <c r="G84" s="145" t="str">
        <f t="shared" si="12"/>
        <v/>
      </c>
      <c r="H84" s="146" t="str">
        <f t="shared" si="13"/>
        <v/>
      </c>
      <c r="I84" s="148" t="str">
        <f t="shared" si="8"/>
        <v/>
      </c>
      <c r="J84" s="147" t="str">
        <f t="shared" si="14"/>
        <v/>
      </c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  <c r="AO84" s="84"/>
      <c r="AP84" s="84"/>
      <c r="AQ84" s="84"/>
      <c r="AR84" s="84"/>
      <c r="AS84" s="84"/>
      <c r="AT84" s="84"/>
      <c r="AU84" s="84"/>
      <c r="AV84" s="84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  <c r="BH84" s="84"/>
      <c r="BI84" s="84"/>
      <c r="BJ84" s="84"/>
      <c r="BK84" s="84"/>
      <c r="BL84" s="84"/>
      <c r="BM84" s="84"/>
      <c r="BN84" s="84"/>
      <c r="BO84" s="84"/>
      <c r="BP84" s="84"/>
      <c r="BQ84" s="84"/>
      <c r="BR84" s="84"/>
      <c r="BS84" s="84"/>
      <c r="BT84" s="84"/>
    </row>
    <row r="85" spans="1:72" ht="15.75" thickBot="1">
      <c r="A85" s="2"/>
      <c r="B85" s="143"/>
      <c r="C85" s="142"/>
      <c r="D85" s="144" t="str">
        <f t="shared" si="9"/>
        <v/>
      </c>
      <c r="E85" s="149" t="str">
        <f t="shared" si="10"/>
        <v/>
      </c>
      <c r="F85" s="145" t="str">
        <f t="shared" si="11"/>
        <v/>
      </c>
      <c r="G85" s="145" t="str">
        <f t="shared" si="12"/>
        <v/>
      </c>
      <c r="H85" s="146" t="str">
        <f t="shared" si="13"/>
        <v/>
      </c>
      <c r="I85" s="148" t="str">
        <f t="shared" si="8"/>
        <v/>
      </c>
      <c r="J85" s="147" t="str">
        <f t="shared" si="14"/>
        <v/>
      </c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  <c r="AO85" s="84"/>
      <c r="AP85" s="84"/>
      <c r="AQ85" s="84"/>
      <c r="AR85" s="84"/>
      <c r="AS85" s="84"/>
      <c r="AT85" s="84"/>
      <c r="AU85" s="84"/>
      <c r="AV85" s="84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  <c r="BH85" s="84"/>
      <c r="BI85" s="84"/>
      <c r="BJ85" s="84"/>
      <c r="BK85" s="84"/>
      <c r="BL85" s="84"/>
      <c r="BM85" s="84"/>
      <c r="BN85" s="84"/>
      <c r="BO85" s="84"/>
      <c r="BP85" s="84"/>
      <c r="BQ85" s="84"/>
      <c r="BR85" s="84"/>
      <c r="BS85" s="84"/>
      <c r="BT85" s="84"/>
    </row>
    <row r="86" spans="1:72" ht="15.75" thickBot="1">
      <c r="A86" s="2"/>
      <c r="B86" s="143"/>
      <c r="C86" s="142"/>
      <c r="D86" s="144" t="str">
        <f t="shared" si="9"/>
        <v/>
      </c>
      <c r="E86" s="149" t="str">
        <f t="shared" si="10"/>
        <v/>
      </c>
      <c r="F86" s="145" t="str">
        <f t="shared" si="11"/>
        <v/>
      </c>
      <c r="G86" s="145" t="str">
        <f t="shared" si="12"/>
        <v/>
      </c>
      <c r="H86" s="146" t="str">
        <f t="shared" si="13"/>
        <v/>
      </c>
      <c r="I86" s="148" t="str">
        <f t="shared" si="8"/>
        <v/>
      </c>
      <c r="J86" s="147" t="str">
        <f t="shared" si="14"/>
        <v/>
      </c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  <c r="AO86" s="84"/>
      <c r="AP86" s="84"/>
      <c r="AQ86" s="84"/>
      <c r="AR86" s="84"/>
      <c r="AS86" s="84"/>
      <c r="AT86" s="84"/>
      <c r="AU86" s="84"/>
      <c r="AV86" s="84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  <c r="BH86" s="84"/>
      <c r="BI86" s="84"/>
      <c r="BJ86" s="84"/>
      <c r="BK86" s="84"/>
      <c r="BL86" s="84"/>
      <c r="BM86" s="84"/>
      <c r="BN86" s="84"/>
      <c r="BO86" s="84"/>
      <c r="BP86" s="84"/>
      <c r="BQ86" s="84"/>
      <c r="BR86" s="84"/>
      <c r="BS86" s="84"/>
      <c r="BT86" s="84"/>
    </row>
    <row r="87" spans="1:72" ht="15.75" thickBot="1">
      <c r="A87" s="2"/>
      <c r="B87" s="143"/>
      <c r="C87" s="142"/>
      <c r="D87" s="144" t="str">
        <f t="shared" si="9"/>
        <v/>
      </c>
      <c r="E87" s="149" t="str">
        <f t="shared" si="10"/>
        <v/>
      </c>
      <c r="F87" s="145" t="str">
        <f t="shared" si="11"/>
        <v/>
      </c>
      <c r="G87" s="145" t="str">
        <f t="shared" si="12"/>
        <v/>
      </c>
      <c r="H87" s="146" t="str">
        <f t="shared" si="13"/>
        <v/>
      </c>
      <c r="I87" s="148" t="str">
        <f t="shared" si="8"/>
        <v/>
      </c>
      <c r="J87" s="147" t="str">
        <f t="shared" si="14"/>
        <v/>
      </c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  <c r="AO87" s="84"/>
      <c r="AP87" s="84"/>
      <c r="AQ87" s="84"/>
      <c r="AR87" s="84"/>
      <c r="AS87" s="84"/>
      <c r="AT87" s="84"/>
      <c r="AU87" s="84"/>
      <c r="AV87" s="84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  <c r="BH87" s="84"/>
      <c r="BI87" s="84"/>
      <c r="BJ87" s="84"/>
      <c r="BK87" s="84"/>
      <c r="BL87" s="84"/>
      <c r="BM87" s="84"/>
      <c r="BN87" s="84"/>
      <c r="BO87" s="84"/>
      <c r="BP87" s="84"/>
      <c r="BQ87" s="84"/>
      <c r="BR87" s="84"/>
      <c r="BS87" s="84"/>
      <c r="BT87" s="84"/>
    </row>
    <row r="88" spans="1:72" ht="15.75" thickBot="1">
      <c r="A88" s="2"/>
      <c r="B88" s="143"/>
      <c r="C88" s="142"/>
      <c r="D88" s="144" t="str">
        <f t="shared" si="9"/>
        <v/>
      </c>
      <c r="E88" s="149" t="str">
        <f t="shared" si="10"/>
        <v/>
      </c>
      <c r="F88" s="145" t="str">
        <f t="shared" si="11"/>
        <v/>
      </c>
      <c r="G88" s="145" t="str">
        <f t="shared" si="12"/>
        <v/>
      </c>
      <c r="H88" s="146" t="str">
        <f t="shared" si="13"/>
        <v/>
      </c>
      <c r="I88" s="148" t="str">
        <f t="shared" si="8"/>
        <v/>
      </c>
      <c r="J88" s="147" t="str">
        <f t="shared" si="14"/>
        <v/>
      </c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  <c r="AC88" s="84"/>
      <c r="AD88" s="84"/>
      <c r="AE88" s="84"/>
      <c r="AF88" s="84"/>
      <c r="AG88" s="84"/>
      <c r="AH88" s="84"/>
      <c r="AI88" s="84"/>
      <c r="AJ88" s="84"/>
      <c r="AK88" s="84"/>
      <c r="AL88" s="84"/>
      <c r="AM88" s="84"/>
      <c r="AN88" s="84"/>
      <c r="AO88" s="84"/>
      <c r="AP88" s="84"/>
      <c r="AQ88" s="84"/>
      <c r="AR88" s="84"/>
      <c r="AS88" s="84"/>
      <c r="AT88" s="84"/>
      <c r="AU88" s="84"/>
      <c r="AV88" s="84"/>
      <c r="AW88" s="84"/>
      <c r="AX88" s="84"/>
      <c r="AY88" s="84"/>
      <c r="AZ88" s="84"/>
      <c r="BA88" s="84"/>
      <c r="BB88" s="84"/>
      <c r="BC88" s="84"/>
      <c r="BD88" s="84"/>
      <c r="BE88" s="84"/>
      <c r="BF88" s="84"/>
      <c r="BG88" s="84"/>
      <c r="BH88" s="84"/>
      <c r="BI88" s="84"/>
      <c r="BJ88" s="84"/>
      <c r="BK88" s="84"/>
      <c r="BL88" s="84"/>
      <c r="BM88" s="84"/>
      <c r="BN88" s="84"/>
      <c r="BO88" s="84"/>
      <c r="BP88" s="84"/>
      <c r="BQ88" s="84"/>
      <c r="BR88" s="84"/>
      <c r="BS88" s="84"/>
      <c r="BT88" s="84"/>
    </row>
    <row r="89" spans="1:72" ht="15.75" thickBot="1">
      <c r="A89" s="2"/>
      <c r="B89" s="143"/>
      <c r="C89" s="142"/>
      <c r="D89" s="144" t="str">
        <f t="shared" si="9"/>
        <v/>
      </c>
      <c r="E89" s="149" t="str">
        <f t="shared" si="10"/>
        <v/>
      </c>
      <c r="F89" s="145" t="str">
        <f t="shared" si="11"/>
        <v/>
      </c>
      <c r="G89" s="145" t="str">
        <f t="shared" si="12"/>
        <v/>
      </c>
      <c r="H89" s="146" t="str">
        <f t="shared" si="13"/>
        <v/>
      </c>
      <c r="I89" s="148" t="str">
        <f t="shared" si="8"/>
        <v/>
      </c>
      <c r="J89" s="147" t="str">
        <f t="shared" si="14"/>
        <v/>
      </c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  <c r="AO89" s="84"/>
      <c r="AP89" s="84"/>
      <c r="AQ89" s="84"/>
      <c r="AR89" s="84"/>
      <c r="AS89" s="84"/>
      <c r="AT89" s="84"/>
      <c r="AU89" s="84"/>
      <c r="AV89" s="84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  <c r="BH89" s="84"/>
      <c r="BI89" s="84"/>
      <c r="BJ89" s="84"/>
      <c r="BK89" s="84"/>
      <c r="BL89" s="84"/>
      <c r="BM89" s="84"/>
      <c r="BN89" s="84"/>
      <c r="BO89" s="84"/>
      <c r="BP89" s="84"/>
      <c r="BQ89" s="84"/>
      <c r="BR89" s="84"/>
      <c r="BS89" s="84"/>
      <c r="BT89" s="84"/>
    </row>
    <row r="90" spans="1:72" ht="15.75" thickBot="1">
      <c r="A90" s="2"/>
      <c r="B90" s="143"/>
      <c r="C90" s="142"/>
      <c r="D90" s="144" t="str">
        <f t="shared" si="9"/>
        <v/>
      </c>
      <c r="E90" s="149" t="str">
        <f t="shared" si="10"/>
        <v/>
      </c>
      <c r="F90" s="145" t="str">
        <f t="shared" si="11"/>
        <v/>
      </c>
      <c r="G90" s="145" t="str">
        <f t="shared" si="12"/>
        <v/>
      </c>
      <c r="H90" s="146" t="str">
        <f t="shared" si="13"/>
        <v/>
      </c>
      <c r="I90" s="148" t="str">
        <f t="shared" si="8"/>
        <v/>
      </c>
      <c r="J90" s="147" t="str">
        <f t="shared" si="14"/>
        <v/>
      </c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  <c r="AO90" s="84"/>
      <c r="AP90" s="84"/>
      <c r="AQ90" s="84"/>
      <c r="AR90" s="84"/>
      <c r="AS90" s="84"/>
      <c r="AT90" s="84"/>
      <c r="AU90" s="84"/>
      <c r="AV90" s="84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  <c r="BH90" s="84"/>
      <c r="BI90" s="84"/>
      <c r="BJ90" s="84"/>
      <c r="BK90" s="84"/>
      <c r="BL90" s="84"/>
      <c r="BM90" s="84"/>
      <c r="BN90" s="84"/>
      <c r="BO90" s="84"/>
      <c r="BP90" s="84"/>
      <c r="BQ90" s="84"/>
      <c r="BR90" s="84"/>
      <c r="BS90" s="84"/>
      <c r="BT90" s="84"/>
    </row>
    <row r="91" spans="1:72" ht="15.75" thickBot="1">
      <c r="A91" s="2"/>
      <c r="B91" s="143"/>
      <c r="C91" s="142"/>
      <c r="D91" s="144" t="str">
        <f t="shared" si="9"/>
        <v/>
      </c>
      <c r="E91" s="149" t="str">
        <f t="shared" si="10"/>
        <v/>
      </c>
      <c r="F91" s="145" t="str">
        <f t="shared" si="11"/>
        <v/>
      </c>
      <c r="G91" s="145" t="str">
        <f t="shared" si="12"/>
        <v/>
      </c>
      <c r="H91" s="146" t="str">
        <f t="shared" si="13"/>
        <v/>
      </c>
      <c r="I91" s="148" t="str">
        <f t="shared" si="8"/>
        <v/>
      </c>
      <c r="J91" s="147" t="str">
        <f t="shared" si="14"/>
        <v/>
      </c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  <c r="AO91" s="84"/>
      <c r="AP91" s="84"/>
      <c r="AQ91" s="84"/>
      <c r="AR91" s="84"/>
      <c r="AS91" s="84"/>
      <c r="AT91" s="84"/>
      <c r="AU91" s="84"/>
      <c r="AV91" s="84"/>
      <c r="AW91" s="84"/>
      <c r="AX91" s="84"/>
      <c r="AY91" s="84"/>
      <c r="AZ91" s="84"/>
      <c r="BA91" s="84"/>
      <c r="BB91" s="84"/>
      <c r="BC91" s="84"/>
      <c r="BD91" s="84"/>
      <c r="BE91" s="84"/>
      <c r="BF91" s="84"/>
      <c r="BG91" s="84"/>
      <c r="BH91" s="84"/>
      <c r="BI91" s="84"/>
      <c r="BJ91" s="84"/>
      <c r="BK91" s="84"/>
      <c r="BL91" s="84"/>
      <c r="BM91" s="84"/>
      <c r="BN91" s="84"/>
      <c r="BO91" s="84"/>
      <c r="BP91" s="84"/>
      <c r="BQ91" s="84"/>
      <c r="BR91" s="84"/>
      <c r="BS91" s="84"/>
      <c r="BT91" s="84"/>
    </row>
    <row r="92" spans="1:72" ht="15.75" thickBot="1">
      <c r="A92" s="2"/>
      <c r="B92" s="143"/>
      <c r="C92" s="142"/>
      <c r="D92" s="144" t="str">
        <f t="shared" si="9"/>
        <v/>
      </c>
      <c r="E92" s="149" t="str">
        <f t="shared" si="10"/>
        <v/>
      </c>
      <c r="F92" s="145" t="str">
        <f t="shared" si="11"/>
        <v/>
      </c>
      <c r="G92" s="145" t="str">
        <f t="shared" si="12"/>
        <v/>
      </c>
      <c r="H92" s="146" t="str">
        <f t="shared" si="13"/>
        <v/>
      </c>
      <c r="I92" s="148" t="str">
        <f t="shared" si="8"/>
        <v/>
      </c>
      <c r="J92" s="147" t="str">
        <f t="shared" si="14"/>
        <v/>
      </c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  <c r="AO92" s="84"/>
      <c r="AP92" s="84"/>
      <c r="AQ92" s="84"/>
      <c r="AR92" s="84"/>
      <c r="AS92" s="84"/>
      <c r="AT92" s="84"/>
      <c r="AU92" s="84"/>
      <c r="AV92" s="84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  <c r="BN92" s="84"/>
      <c r="BO92" s="84"/>
      <c r="BP92" s="84"/>
      <c r="BQ92" s="84"/>
      <c r="BR92" s="84"/>
      <c r="BS92" s="84"/>
      <c r="BT92" s="84"/>
    </row>
    <row r="93" spans="1:72" ht="15.75" thickBot="1">
      <c r="A93" s="2"/>
      <c r="B93" s="143"/>
      <c r="C93" s="142"/>
      <c r="D93" s="144" t="str">
        <f t="shared" si="9"/>
        <v/>
      </c>
      <c r="E93" s="149" t="str">
        <f t="shared" si="10"/>
        <v/>
      </c>
      <c r="F93" s="145" t="str">
        <f t="shared" si="11"/>
        <v/>
      </c>
      <c r="G93" s="145" t="str">
        <f t="shared" si="12"/>
        <v/>
      </c>
      <c r="H93" s="146" t="str">
        <f t="shared" si="13"/>
        <v/>
      </c>
      <c r="I93" s="148" t="str">
        <f t="shared" si="8"/>
        <v/>
      </c>
      <c r="J93" s="147" t="str">
        <f t="shared" si="14"/>
        <v/>
      </c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  <c r="AN93" s="84"/>
      <c r="AO93" s="84"/>
      <c r="AP93" s="84"/>
      <c r="AQ93" s="84"/>
      <c r="AR93" s="84"/>
      <c r="AS93" s="84"/>
      <c r="AT93" s="84"/>
      <c r="AU93" s="84"/>
      <c r="AV93" s="84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  <c r="BH93" s="84"/>
      <c r="BI93" s="84"/>
      <c r="BJ93" s="84"/>
      <c r="BK93" s="84"/>
      <c r="BL93" s="84"/>
      <c r="BM93" s="84"/>
      <c r="BN93" s="84"/>
      <c r="BO93" s="84"/>
      <c r="BP93" s="84"/>
      <c r="BQ93" s="84"/>
      <c r="BR93" s="84"/>
      <c r="BS93" s="84"/>
      <c r="BT93" s="84"/>
    </row>
    <row r="94" spans="1:72" ht="15.75" thickBot="1">
      <c r="A94" s="2"/>
      <c r="B94" s="143"/>
      <c r="C94" s="142"/>
      <c r="D94" s="144" t="str">
        <f t="shared" si="9"/>
        <v/>
      </c>
      <c r="E94" s="149" t="str">
        <f t="shared" si="10"/>
        <v/>
      </c>
      <c r="F94" s="145" t="str">
        <f t="shared" si="11"/>
        <v/>
      </c>
      <c r="G94" s="145" t="str">
        <f t="shared" si="12"/>
        <v/>
      </c>
      <c r="H94" s="146" t="str">
        <f t="shared" si="13"/>
        <v/>
      </c>
      <c r="I94" s="148" t="str">
        <f t="shared" si="8"/>
        <v/>
      </c>
      <c r="J94" s="147" t="str">
        <f t="shared" si="14"/>
        <v/>
      </c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4"/>
      <c r="AJ94" s="84"/>
      <c r="AK94" s="84"/>
      <c r="AL94" s="84"/>
      <c r="AM94" s="84"/>
      <c r="AN94" s="84"/>
      <c r="AO94" s="84"/>
      <c r="AP94" s="84"/>
      <c r="AQ94" s="84"/>
      <c r="AR94" s="84"/>
      <c r="AS94" s="84"/>
      <c r="AT94" s="84"/>
      <c r="AU94" s="84"/>
      <c r="AV94" s="84"/>
      <c r="AW94" s="84"/>
      <c r="AX94" s="84"/>
      <c r="AY94" s="84"/>
      <c r="AZ94" s="84"/>
      <c r="BA94" s="84"/>
      <c r="BB94" s="84"/>
      <c r="BC94" s="84"/>
      <c r="BD94" s="84"/>
      <c r="BE94" s="84"/>
      <c r="BF94" s="84"/>
      <c r="BG94" s="84"/>
      <c r="BH94" s="84"/>
      <c r="BI94" s="84"/>
      <c r="BJ94" s="84"/>
      <c r="BK94" s="84"/>
      <c r="BL94" s="84"/>
      <c r="BM94" s="84"/>
      <c r="BN94" s="84"/>
      <c r="BO94" s="84"/>
      <c r="BP94" s="84"/>
      <c r="BQ94" s="84"/>
      <c r="BR94" s="84"/>
      <c r="BS94" s="84"/>
      <c r="BT94" s="84"/>
    </row>
    <row r="95" spans="1:72" ht="15.75" thickBot="1">
      <c r="A95" s="2"/>
      <c r="B95" s="143"/>
      <c r="C95" s="142"/>
      <c r="D95" s="144" t="str">
        <f t="shared" si="9"/>
        <v/>
      </c>
      <c r="E95" s="149" t="str">
        <f t="shared" si="10"/>
        <v/>
      </c>
      <c r="F95" s="145" t="str">
        <f t="shared" si="11"/>
        <v/>
      </c>
      <c r="G95" s="145" t="str">
        <f t="shared" si="12"/>
        <v/>
      </c>
      <c r="H95" s="146" t="str">
        <f t="shared" si="13"/>
        <v/>
      </c>
      <c r="I95" s="148" t="str">
        <f t="shared" si="8"/>
        <v/>
      </c>
      <c r="J95" s="147" t="str">
        <f t="shared" si="14"/>
        <v/>
      </c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84"/>
      <c r="AM95" s="84"/>
      <c r="AN95" s="84"/>
      <c r="AO95" s="84"/>
      <c r="AP95" s="84"/>
      <c r="AQ95" s="84"/>
      <c r="AR95" s="84"/>
      <c r="AS95" s="84"/>
      <c r="AT95" s="84"/>
      <c r="AU95" s="84"/>
      <c r="AV95" s="84"/>
      <c r="AW95" s="84"/>
      <c r="AX95" s="84"/>
      <c r="AY95" s="84"/>
      <c r="AZ95" s="84"/>
      <c r="BA95" s="84"/>
      <c r="BB95" s="84"/>
      <c r="BC95" s="84"/>
      <c r="BD95" s="84"/>
      <c r="BE95" s="84"/>
      <c r="BF95" s="84"/>
      <c r="BG95" s="84"/>
      <c r="BH95" s="84"/>
      <c r="BI95" s="84"/>
      <c r="BJ95" s="84"/>
      <c r="BK95" s="84"/>
      <c r="BL95" s="84"/>
      <c r="BM95" s="84"/>
      <c r="BN95" s="84"/>
      <c r="BO95" s="84"/>
      <c r="BP95" s="84"/>
      <c r="BQ95" s="84"/>
      <c r="BR95" s="84"/>
      <c r="BS95" s="84"/>
      <c r="BT95" s="84"/>
    </row>
    <row r="96" spans="1:72" ht="15.75" thickBot="1">
      <c r="A96" s="2"/>
      <c r="B96" s="143"/>
      <c r="C96" s="142"/>
      <c r="D96" s="144" t="str">
        <f t="shared" si="9"/>
        <v/>
      </c>
      <c r="E96" s="149" t="str">
        <f t="shared" si="10"/>
        <v/>
      </c>
      <c r="F96" s="145" t="str">
        <f t="shared" si="11"/>
        <v/>
      </c>
      <c r="G96" s="145" t="str">
        <f t="shared" si="12"/>
        <v/>
      </c>
      <c r="H96" s="146" t="str">
        <f t="shared" si="13"/>
        <v/>
      </c>
      <c r="I96" s="148" t="str">
        <f t="shared" si="8"/>
        <v/>
      </c>
      <c r="J96" s="147" t="str">
        <f t="shared" si="14"/>
        <v/>
      </c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  <c r="AO96" s="84"/>
      <c r="AP96" s="84"/>
      <c r="AQ96" s="84"/>
      <c r="AR96" s="84"/>
      <c r="AS96" s="84"/>
      <c r="AT96" s="84"/>
      <c r="AU96" s="84"/>
      <c r="AV96" s="84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  <c r="BH96" s="84"/>
      <c r="BI96" s="84"/>
      <c r="BJ96" s="84"/>
      <c r="BK96" s="84"/>
      <c r="BL96" s="84"/>
      <c r="BM96" s="84"/>
      <c r="BN96" s="84"/>
      <c r="BO96" s="84"/>
      <c r="BP96" s="84"/>
      <c r="BQ96" s="84"/>
      <c r="BR96" s="84"/>
      <c r="BS96" s="84"/>
      <c r="BT96" s="84"/>
    </row>
    <row r="97" spans="1:72" ht="15.75" thickBot="1">
      <c r="A97" s="2"/>
      <c r="B97" s="143"/>
      <c r="C97" s="142"/>
      <c r="D97" s="144" t="str">
        <f t="shared" si="9"/>
        <v/>
      </c>
      <c r="E97" s="149" t="str">
        <f t="shared" si="10"/>
        <v/>
      </c>
      <c r="F97" s="145" t="str">
        <f t="shared" si="11"/>
        <v/>
      </c>
      <c r="G97" s="145" t="str">
        <f t="shared" si="12"/>
        <v/>
      </c>
      <c r="H97" s="146" t="str">
        <f t="shared" si="13"/>
        <v/>
      </c>
      <c r="I97" s="148" t="str">
        <f t="shared" si="8"/>
        <v/>
      </c>
      <c r="J97" s="147" t="str">
        <f t="shared" si="14"/>
        <v/>
      </c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  <c r="AO97" s="84"/>
      <c r="AP97" s="84"/>
      <c r="AQ97" s="84"/>
      <c r="AR97" s="84"/>
      <c r="AS97" s="84"/>
      <c r="AT97" s="84"/>
      <c r="AU97" s="84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  <c r="BN97" s="84"/>
      <c r="BO97" s="84"/>
      <c r="BP97" s="84"/>
      <c r="BQ97" s="84"/>
      <c r="BR97" s="84"/>
      <c r="BS97" s="84"/>
      <c r="BT97" s="84"/>
    </row>
    <row r="98" spans="1:72" ht="15.75" thickBot="1">
      <c r="A98" s="2"/>
      <c r="B98" s="143"/>
      <c r="C98" s="142"/>
      <c r="D98" s="144" t="str">
        <f t="shared" si="9"/>
        <v/>
      </c>
      <c r="E98" s="149" t="str">
        <f t="shared" si="10"/>
        <v/>
      </c>
      <c r="F98" s="145" t="str">
        <f t="shared" si="11"/>
        <v/>
      </c>
      <c r="G98" s="145" t="str">
        <f t="shared" si="12"/>
        <v/>
      </c>
      <c r="H98" s="146" t="str">
        <f t="shared" si="13"/>
        <v/>
      </c>
      <c r="I98" s="148" t="str">
        <f t="shared" si="8"/>
        <v/>
      </c>
      <c r="J98" s="147" t="str">
        <f t="shared" si="14"/>
        <v/>
      </c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  <c r="AO98" s="84"/>
      <c r="AP98" s="84"/>
      <c r="AQ98" s="84"/>
      <c r="AR98" s="84"/>
      <c r="AS98" s="84"/>
      <c r="AT98" s="84"/>
      <c r="AU98" s="84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  <c r="BN98" s="84"/>
      <c r="BO98" s="84"/>
      <c r="BP98" s="84"/>
      <c r="BQ98" s="84"/>
      <c r="BR98" s="84"/>
      <c r="BS98" s="84"/>
      <c r="BT98" s="84"/>
    </row>
    <row r="99" spans="1:72" ht="15.75" thickBot="1">
      <c r="A99" s="2"/>
      <c r="B99" s="143"/>
      <c r="C99" s="142"/>
      <c r="D99" s="144" t="str">
        <f t="shared" si="9"/>
        <v/>
      </c>
      <c r="E99" s="149" t="str">
        <f t="shared" si="10"/>
        <v/>
      </c>
      <c r="F99" s="145" t="str">
        <f t="shared" si="11"/>
        <v/>
      </c>
      <c r="G99" s="145" t="str">
        <f t="shared" si="12"/>
        <v/>
      </c>
      <c r="H99" s="146" t="str">
        <f t="shared" si="13"/>
        <v/>
      </c>
      <c r="I99" s="148" t="str">
        <f t="shared" si="8"/>
        <v/>
      </c>
      <c r="J99" s="147" t="str">
        <f t="shared" si="14"/>
        <v/>
      </c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  <c r="AO99" s="84"/>
      <c r="AP99" s="84"/>
      <c r="AQ99" s="84"/>
      <c r="AR99" s="84"/>
      <c r="AS99" s="84"/>
      <c r="AT99" s="84"/>
      <c r="AU99" s="84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  <c r="BN99" s="84"/>
      <c r="BO99" s="84"/>
      <c r="BP99" s="84"/>
      <c r="BQ99" s="84"/>
      <c r="BR99" s="84"/>
      <c r="BS99" s="84"/>
      <c r="BT99" s="84"/>
    </row>
    <row r="100" spans="1:72" ht="15.75" thickBot="1">
      <c r="A100" s="2"/>
      <c r="B100" s="143"/>
      <c r="C100" s="142"/>
      <c r="D100" s="144" t="str">
        <f t="shared" si="9"/>
        <v/>
      </c>
      <c r="E100" s="149" t="str">
        <f t="shared" si="10"/>
        <v/>
      </c>
      <c r="F100" s="145" t="str">
        <f t="shared" si="11"/>
        <v/>
      </c>
      <c r="G100" s="145" t="str">
        <f t="shared" si="12"/>
        <v/>
      </c>
      <c r="H100" s="146" t="str">
        <f t="shared" si="13"/>
        <v/>
      </c>
      <c r="I100" s="148" t="str">
        <f t="shared" si="8"/>
        <v/>
      </c>
      <c r="J100" s="147" t="str">
        <f t="shared" si="14"/>
        <v/>
      </c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4"/>
      <c r="AY100" s="84"/>
      <c r="AZ100" s="84"/>
      <c r="BA100" s="84"/>
      <c r="BB100" s="84"/>
      <c r="BC100" s="84"/>
      <c r="BD100" s="84"/>
      <c r="BE100" s="84"/>
      <c r="BF100" s="84"/>
      <c r="BG100" s="84"/>
      <c r="BH100" s="84"/>
      <c r="BI100" s="84"/>
      <c r="BJ100" s="84"/>
      <c r="BK100" s="84"/>
      <c r="BL100" s="84"/>
      <c r="BM100" s="84"/>
      <c r="BN100" s="84"/>
      <c r="BO100" s="84"/>
      <c r="BP100" s="84"/>
      <c r="BQ100" s="84"/>
      <c r="BR100" s="84"/>
      <c r="BS100" s="84"/>
      <c r="BT100" s="84"/>
    </row>
    <row r="101" spans="1:72" ht="15.75" thickBot="1">
      <c r="A101" s="2"/>
      <c r="B101" s="143"/>
      <c r="C101" s="142"/>
      <c r="D101" s="144" t="str">
        <f t="shared" si="9"/>
        <v/>
      </c>
      <c r="E101" s="149" t="str">
        <f t="shared" si="10"/>
        <v/>
      </c>
      <c r="F101" s="145" t="str">
        <f t="shared" si="11"/>
        <v/>
      </c>
      <c r="G101" s="145" t="str">
        <f t="shared" si="12"/>
        <v/>
      </c>
      <c r="H101" s="146" t="str">
        <f t="shared" si="13"/>
        <v/>
      </c>
      <c r="I101" s="148" t="str">
        <f t="shared" si="8"/>
        <v/>
      </c>
      <c r="J101" s="147" t="str">
        <f t="shared" si="14"/>
        <v/>
      </c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  <c r="AO101" s="84"/>
      <c r="AP101" s="84"/>
      <c r="AQ101" s="84"/>
      <c r="AR101" s="84"/>
      <c r="AS101" s="84"/>
      <c r="AT101" s="84"/>
      <c r="AU101" s="84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  <c r="BN101" s="84"/>
      <c r="BO101" s="84"/>
      <c r="BP101" s="84"/>
      <c r="BQ101" s="84"/>
      <c r="BR101" s="84"/>
      <c r="BS101" s="84"/>
      <c r="BT101" s="84"/>
    </row>
    <row r="102" spans="1:72" ht="15.75" thickBot="1">
      <c r="A102" s="2"/>
      <c r="B102" s="143"/>
      <c r="C102" s="142"/>
      <c r="D102" s="144" t="str">
        <f t="shared" si="9"/>
        <v/>
      </c>
      <c r="E102" s="149" t="str">
        <f t="shared" si="10"/>
        <v/>
      </c>
      <c r="F102" s="145" t="str">
        <f t="shared" si="11"/>
        <v/>
      </c>
      <c r="G102" s="145" t="str">
        <f t="shared" si="12"/>
        <v/>
      </c>
      <c r="H102" s="146" t="str">
        <f t="shared" si="13"/>
        <v/>
      </c>
      <c r="I102" s="148" t="str">
        <f t="shared" si="8"/>
        <v/>
      </c>
      <c r="J102" s="147" t="str">
        <f t="shared" si="14"/>
        <v/>
      </c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  <c r="AO102" s="84"/>
      <c r="AP102" s="84"/>
      <c r="AQ102" s="84"/>
      <c r="AR102" s="84"/>
      <c r="AS102" s="84"/>
      <c r="AT102" s="84"/>
      <c r="AU102" s="84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  <c r="BN102" s="84"/>
      <c r="BO102" s="84"/>
      <c r="BP102" s="84"/>
      <c r="BQ102" s="84"/>
      <c r="BR102" s="84"/>
      <c r="BS102" s="84"/>
      <c r="BT102" s="84"/>
    </row>
    <row r="103" spans="1:72" ht="15.75" thickBot="1">
      <c r="A103" s="2"/>
      <c r="B103" s="143"/>
      <c r="C103" s="142"/>
      <c r="D103" s="144" t="str">
        <f t="shared" si="9"/>
        <v/>
      </c>
      <c r="E103" s="149" t="str">
        <f t="shared" si="10"/>
        <v/>
      </c>
      <c r="F103" s="145" t="str">
        <f t="shared" si="11"/>
        <v/>
      </c>
      <c r="G103" s="145" t="str">
        <f t="shared" si="12"/>
        <v/>
      </c>
      <c r="H103" s="146" t="str">
        <f t="shared" si="13"/>
        <v/>
      </c>
      <c r="I103" s="148" t="str">
        <f t="shared" si="8"/>
        <v/>
      </c>
      <c r="J103" s="147" t="str">
        <f t="shared" si="14"/>
        <v/>
      </c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  <c r="AL103" s="84"/>
      <c r="AM103" s="84"/>
      <c r="AN103" s="84"/>
      <c r="AO103" s="84"/>
      <c r="AP103" s="84"/>
      <c r="AQ103" s="84"/>
      <c r="AR103" s="84"/>
      <c r="AS103" s="84"/>
      <c r="AT103" s="84"/>
      <c r="AU103" s="84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  <c r="BN103" s="84"/>
      <c r="BO103" s="84"/>
      <c r="BP103" s="84"/>
      <c r="BQ103" s="84"/>
      <c r="BR103" s="84"/>
      <c r="BS103" s="84"/>
      <c r="BT103" s="84"/>
    </row>
    <row r="104" spans="1:72" ht="15.75" thickBot="1">
      <c r="A104" s="2"/>
      <c r="B104" s="143"/>
      <c r="C104" s="142"/>
      <c r="D104" s="144" t="str">
        <f t="shared" si="9"/>
        <v/>
      </c>
      <c r="E104" s="149" t="str">
        <f t="shared" si="10"/>
        <v/>
      </c>
      <c r="F104" s="145" t="str">
        <f t="shared" si="11"/>
        <v/>
      </c>
      <c r="G104" s="145" t="str">
        <f t="shared" si="12"/>
        <v/>
      </c>
      <c r="H104" s="146" t="str">
        <f t="shared" si="13"/>
        <v/>
      </c>
      <c r="I104" s="148" t="str">
        <f t="shared" ref="I104:I115" si="15">IF(J104&lt;0,0,J104)</f>
        <v/>
      </c>
      <c r="J104" s="147" t="str">
        <f t="shared" si="14"/>
        <v/>
      </c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  <c r="AO104" s="84"/>
      <c r="AP104" s="84"/>
      <c r="AQ104" s="84"/>
      <c r="AR104" s="84"/>
      <c r="AS104" s="84"/>
      <c r="AT104" s="84"/>
      <c r="AU104" s="84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  <c r="BN104" s="84"/>
      <c r="BO104" s="84"/>
      <c r="BP104" s="84"/>
      <c r="BQ104" s="84"/>
      <c r="BR104" s="84"/>
      <c r="BS104" s="84"/>
      <c r="BT104" s="84"/>
    </row>
    <row r="105" spans="1:72" ht="15.75" thickBot="1">
      <c r="A105" s="2"/>
      <c r="B105" s="143"/>
      <c r="C105" s="142"/>
      <c r="D105" s="144" t="str">
        <f t="shared" si="9"/>
        <v/>
      </c>
      <c r="E105" s="149" t="str">
        <f t="shared" si="10"/>
        <v/>
      </c>
      <c r="F105" s="145" t="str">
        <f t="shared" si="11"/>
        <v/>
      </c>
      <c r="G105" s="145" t="str">
        <f t="shared" si="12"/>
        <v/>
      </c>
      <c r="H105" s="146" t="str">
        <f t="shared" si="13"/>
        <v/>
      </c>
      <c r="I105" s="148" t="str">
        <f t="shared" si="15"/>
        <v/>
      </c>
      <c r="J105" s="147" t="str">
        <f t="shared" si="14"/>
        <v/>
      </c>
      <c r="K105" s="84"/>
      <c r="L105" s="84"/>
      <c r="M105" s="84"/>
      <c r="N105" s="84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  <c r="AO105" s="84"/>
      <c r="AP105" s="84"/>
      <c r="AQ105" s="84"/>
      <c r="AR105" s="84"/>
      <c r="AS105" s="84"/>
      <c r="AT105" s="84"/>
      <c r="AU105" s="84"/>
      <c r="AV105" s="84"/>
      <c r="AW105" s="84"/>
      <c r="AX105" s="84"/>
      <c r="AY105" s="84"/>
      <c r="AZ105" s="84"/>
      <c r="BA105" s="84"/>
      <c r="BB105" s="84"/>
      <c r="BC105" s="84"/>
      <c r="BD105" s="84"/>
      <c r="BE105" s="84"/>
      <c r="BF105" s="84"/>
      <c r="BG105" s="84"/>
      <c r="BH105" s="84"/>
      <c r="BI105" s="84"/>
      <c r="BJ105" s="84"/>
      <c r="BK105" s="84"/>
      <c r="BL105" s="84"/>
      <c r="BM105" s="84"/>
      <c r="BN105" s="84"/>
      <c r="BO105" s="84"/>
      <c r="BP105" s="84"/>
      <c r="BQ105" s="84"/>
      <c r="BR105" s="84"/>
      <c r="BS105" s="84"/>
      <c r="BT105" s="84"/>
    </row>
    <row r="106" spans="1:72" ht="15.75" thickBot="1">
      <c r="A106" s="2"/>
      <c r="B106" s="143"/>
      <c r="C106" s="142"/>
      <c r="D106" s="144" t="str">
        <f t="shared" si="9"/>
        <v/>
      </c>
      <c r="E106" s="149" t="str">
        <f t="shared" si="10"/>
        <v/>
      </c>
      <c r="F106" s="145" t="str">
        <f t="shared" si="11"/>
        <v/>
      </c>
      <c r="G106" s="145" t="str">
        <f t="shared" si="12"/>
        <v/>
      </c>
      <c r="H106" s="146" t="str">
        <f t="shared" si="13"/>
        <v/>
      </c>
      <c r="I106" s="148" t="str">
        <f t="shared" si="15"/>
        <v/>
      </c>
      <c r="J106" s="147" t="str">
        <f t="shared" si="14"/>
        <v/>
      </c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  <c r="AO106" s="84"/>
      <c r="AP106" s="84"/>
      <c r="AQ106" s="84"/>
      <c r="AR106" s="84"/>
      <c r="AS106" s="84"/>
      <c r="AT106" s="84"/>
      <c r="AU106" s="84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  <c r="BN106" s="84"/>
      <c r="BO106" s="84"/>
      <c r="BP106" s="84"/>
      <c r="BQ106" s="84"/>
      <c r="BR106" s="84"/>
      <c r="BS106" s="84"/>
      <c r="BT106" s="84"/>
    </row>
    <row r="107" spans="1:72" ht="15.75" thickBot="1">
      <c r="A107" s="2"/>
      <c r="B107" s="143"/>
      <c r="C107" s="142"/>
      <c r="D107" s="144" t="str">
        <f t="shared" si="9"/>
        <v/>
      </c>
      <c r="E107" s="149" t="str">
        <f t="shared" si="10"/>
        <v/>
      </c>
      <c r="F107" s="145" t="str">
        <f t="shared" si="11"/>
        <v/>
      </c>
      <c r="G107" s="145" t="str">
        <f t="shared" si="12"/>
        <v/>
      </c>
      <c r="H107" s="146" t="str">
        <f t="shared" si="13"/>
        <v/>
      </c>
      <c r="I107" s="148" t="str">
        <f t="shared" si="15"/>
        <v/>
      </c>
      <c r="J107" s="147" t="str">
        <f t="shared" si="14"/>
        <v/>
      </c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  <c r="AO107" s="84"/>
      <c r="AP107" s="84"/>
      <c r="AQ107" s="84"/>
      <c r="AR107" s="84"/>
      <c r="AS107" s="84"/>
      <c r="AT107" s="84"/>
      <c r="AU107" s="84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  <c r="BN107" s="84"/>
      <c r="BO107" s="84"/>
      <c r="BP107" s="84"/>
      <c r="BQ107" s="84"/>
      <c r="BR107" s="84"/>
      <c r="BS107" s="84"/>
      <c r="BT107" s="84"/>
    </row>
    <row r="108" spans="1:72" ht="15.75" thickBot="1">
      <c r="A108" s="2"/>
      <c r="B108" s="143"/>
      <c r="C108" s="142"/>
      <c r="D108" s="144" t="str">
        <f t="shared" si="9"/>
        <v/>
      </c>
      <c r="E108" s="149" t="str">
        <f t="shared" si="10"/>
        <v/>
      </c>
      <c r="F108" s="145" t="str">
        <f t="shared" si="11"/>
        <v/>
      </c>
      <c r="G108" s="145" t="str">
        <f t="shared" si="12"/>
        <v/>
      </c>
      <c r="H108" s="146" t="str">
        <f t="shared" si="13"/>
        <v/>
      </c>
      <c r="I108" s="148" t="str">
        <f t="shared" si="15"/>
        <v/>
      </c>
      <c r="J108" s="147" t="str">
        <f t="shared" si="14"/>
        <v/>
      </c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  <c r="AC108" s="84"/>
      <c r="AD108" s="84"/>
      <c r="AE108" s="84"/>
      <c r="AF108" s="84"/>
      <c r="AG108" s="84"/>
      <c r="AH108" s="84"/>
      <c r="AI108" s="84"/>
      <c r="AJ108" s="84"/>
      <c r="AK108" s="84"/>
      <c r="AL108" s="84"/>
      <c r="AM108" s="84"/>
      <c r="AN108" s="84"/>
      <c r="AO108" s="84"/>
      <c r="AP108" s="84"/>
      <c r="AQ108" s="84"/>
      <c r="AR108" s="84"/>
      <c r="AS108" s="84"/>
      <c r="AT108" s="84"/>
      <c r="AU108" s="84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  <c r="BN108" s="84"/>
      <c r="BO108" s="84"/>
      <c r="BP108" s="84"/>
      <c r="BQ108" s="84"/>
      <c r="BR108" s="84"/>
      <c r="BS108" s="84"/>
      <c r="BT108" s="84"/>
    </row>
    <row r="109" spans="1:72" ht="15.75" thickBot="1">
      <c r="A109" s="2"/>
      <c r="B109" s="143"/>
      <c r="C109" s="142"/>
      <c r="D109" s="144" t="str">
        <f t="shared" si="9"/>
        <v/>
      </c>
      <c r="E109" s="149" t="str">
        <f t="shared" si="10"/>
        <v/>
      </c>
      <c r="F109" s="145" t="str">
        <f t="shared" si="11"/>
        <v/>
      </c>
      <c r="G109" s="145" t="str">
        <f t="shared" si="12"/>
        <v/>
      </c>
      <c r="H109" s="146" t="str">
        <f t="shared" si="13"/>
        <v/>
      </c>
      <c r="I109" s="148" t="str">
        <f t="shared" si="15"/>
        <v/>
      </c>
      <c r="J109" s="147" t="str">
        <f t="shared" si="14"/>
        <v/>
      </c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  <c r="AC109" s="84"/>
      <c r="AD109" s="84"/>
      <c r="AE109" s="84"/>
      <c r="AF109" s="84"/>
      <c r="AG109" s="84"/>
      <c r="AH109" s="84"/>
      <c r="AI109" s="84"/>
      <c r="AJ109" s="84"/>
      <c r="AK109" s="84"/>
      <c r="AL109" s="84"/>
      <c r="AM109" s="84"/>
      <c r="AN109" s="84"/>
      <c r="AO109" s="84"/>
      <c r="AP109" s="84"/>
      <c r="AQ109" s="84"/>
      <c r="AR109" s="84"/>
      <c r="AS109" s="84"/>
      <c r="AT109" s="84"/>
      <c r="AU109" s="84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  <c r="BN109" s="84"/>
      <c r="BO109" s="84"/>
      <c r="BP109" s="84"/>
      <c r="BQ109" s="84"/>
      <c r="BR109" s="84"/>
      <c r="BS109" s="84"/>
      <c r="BT109" s="84"/>
    </row>
    <row r="110" spans="1:72" ht="15.75" thickBot="1">
      <c r="A110" s="2"/>
      <c r="B110" s="143"/>
      <c r="C110" s="142"/>
      <c r="D110" s="144" t="str">
        <f t="shared" si="9"/>
        <v/>
      </c>
      <c r="E110" s="149" t="str">
        <f t="shared" si="10"/>
        <v/>
      </c>
      <c r="F110" s="145" t="str">
        <f t="shared" si="11"/>
        <v/>
      </c>
      <c r="G110" s="145" t="str">
        <f t="shared" si="12"/>
        <v/>
      </c>
      <c r="H110" s="146" t="str">
        <f t="shared" si="13"/>
        <v/>
      </c>
      <c r="I110" s="148" t="str">
        <f t="shared" si="15"/>
        <v/>
      </c>
      <c r="J110" s="147" t="str">
        <f t="shared" si="14"/>
        <v/>
      </c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  <c r="AL110" s="84"/>
      <c r="AM110" s="84"/>
      <c r="AN110" s="84"/>
      <c r="AO110" s="84"/>
      <c r="AP110" s="84"/>
      <c r="AQ110" s="84"/>
      <c r="AR110" s="84"/>
      <c r="AS110" s="84"/>
      <c r="AT110" s="84"/>
      <c r="AU110" s="84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  <c r="BN110" s="84"/>
      <c r="BO110" s="84"/>
      <c r="BP110" s="84"/>
      <c r="BQ110" s="84"/>
      <c r="BR110" s="84"/>
      <c r="BS110" s="84"/>
      <c r="BT110" s="84"/>
    </row>
    <row r="111" spans="1:72" ht="15.75" thickBot="1">
      <c r="A111" s="2"/>
      <c r="B111" s="143"/>
      <c r="C111" s="142"/>
      <c r="D111" s="144" t="str">
        <f t="shared" si="9"/>
        <v/>
      </c>
      <c r="E111" s="149" t="str">
        <f t="shared" si="10"/>
        <v/>
      </c>
      <c r="F111" s="145" t="str">
        <f t="shared" si="11"/>
        <v/>
      </c>
      <c r="G111" s="145" t="str">
        <f t="shared" si="12"/>
        <v/>
      </c>
      <c r="H111" s="146" t="str">
        <f t="shared" si="13"/>
        <v/>
      </c>
      <c r="I111" s="148" t="str">
        <f t="shared" si="15"/>
        <v/>
      </c>
      <c r="J111" s="147" t="str">
        <f t="shared" si="14"/>
        <v/>
      </c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  <c r="W111" s="84"/>
      <c r="X111" s="84"/>
      <c r="Y111" s="84"/>
      <c r="Z111" s="84"/>
      <c r="AA111" s="84"/>
      <c r="AB111" s="84"/>
      <c r="AC111" s="84"/>
      <c r="AD111" s="84"/>
      <c r="AE111" s="84"/>
      <c r="AF111" s="84"/>
      <c r="AG111" s="84"/>
      <c r="AH111" s="84"/>
      <c r="AI111" s="84"/>
      <c r="AJ111" s="84"/>
      <c r="AK111" s="84"/>
      <c r="AL111" s="84"/>
      <c r="AM111" s="84"/>
      <c r="AN111" s="84"/>
      <c r="AO111" s="84"/>
      <c r="AP111" s="84"/>
      <c r="AQ111" s="84"/>
      <c r="AR111" s="84"/>
      <c r="AS111" s="84"/>
      <c r="AT111" s="84"/>
      <c r="AU111" s="84"/>
      <c r="AV111" s="84"/>
      <c r="AW111" s="84"/>
      <c r="AX111" s="84"/>
      <c r="AY111" s="84"/>
      <c r="AZ111" s="84"/>
      <c r="BA111" s="84"/>
      <c r="BB111" s="84"/>
      <c r="BC111" s="84"/>
      <c r="BD111" s="84"/>
      <c r="BE111" s="84"/>
      <c r="BF111" s="84"/>
      <c r="BG111" s="84"/>
      <c r="BH111" s="84"/>
      <c r="BI111" s="84"/>
      <c r="BJ111" s="84"/>
      <c r="BK111" s="84"/>
      <c r="BL111" s="84"/>
      <c r="BM111" s="84"/>
      <c r="BN111" s="84"/>
      <c r="BO111" s="84"/>
      <c r="BP111" s="84"/>
      <c r="BQ111" s="84"/>
      <c r="BR111" s="84"/>
      <c r="BS111" s="84"/>
      <c r="BT111" s="84"/>
    </row>
    <row r="112" spans="1:72" ht="15.75" thickBot="1">
      <c r="A112" s="2"/>
      <c r="B112" s="143"/>
      <c r="C112" s="142"/>
      <c r="D112" s="144" t="str">
        <f t="shared" si="9"/>
        <v/>
      </c>
      <c r="E112" s="149" t="str">
        <f t="shared" si="10"/>
        <v/>
      </c>
      <c r="F112" s="145" t="str">
        <f t="shared" si="11"/>
        <v/>
      </c>
      <c r="G112" s="145" t="str">
        <f t="shared" si="12"/>
        <v/>
      </c>
      <c r="H112" s="146" t="str">
        <f t="shared" si="13"/>
        <v/>
      </c>
      <c r="I112" s="148" t="str">
        <f t="shared" si="15"/>
        <v/>
      </c>
      <c r="J112" s="147" t="str">
        <f t="shared" si="14"/>
        <v/>
      </c>
      <c r="K112" s="84"/>
      <c r="L112" s="84"/>
      <c r="M112" s="84"/>
      <c r="N112" s="84"/>
      <c r="O112" s="84"/>
      <c r="P112" s="84"/>
      <c r="Q112" s="84"/>
      <c r="R112" s="84"/>
      <c r="S112" s="84"/>
      <c r="T112" s="84"/>
      <c r="U112" s="84"/>
      <c r="V112" s="84"/>
      <c r="W112" s="84"/>
      <c r="X112" s="84"/>
      <c r="Y112" s="84"/>
      <c r="Z112" s="84"/>
      <c r="AA112" s="84"/>
      <c r="AB112" s="84"/>
      <c r="AC112" s="84"/>
      <c r="AD112" s="84"/>
      <c r="AE112" s="84"/>
      <c r="AF112" s="84"/>
      <c r="AG112" s="84"/>
      <c r="AH112" s="84"/>
      <c r="AI112" s="84"/>
      <c r="AJ112" s="84"/>
      <c r="AK112" s="84"/>
      <c r="AL112" s="84"/>
      <c r="AM112" s="84"/>
      <c r="AN112" s="84"/>
      <c r="AO112" s="84"/>
      <c r="AP112" s="84"/>
      <c r="AQ112" s="84"/>
      <c r="AR112" s="84"/>
      <c r="AS112" s="84"/>
      <c r="AT112" s="84"/>
      <c r="AU112" s="84"/>
      <c r="AV112" s="84"/>
      <c r="AW112" s="84"/>
      <c r="AX112" s="84"/>
      <c r="AY112" s="84"/>
      <c r="AZ112" s="84"/>
      <c r="BA112" s="84"/>
      <c r="BB112" s="84"/>
      <c r="BC112" s="84"/>
      <c r="BD112" s="84"/>
      <c r="BE112" s="84"/>
      <c r="BF112" s="84"/>
      <c r="BG112" s="84"/>
      <c r="BH112" s="84"/>
      <c r="BI112" s="84"/>
      <c r="BJ112" s="84"/>
      <c r="BK112" s="84"/>
      <c r="BL112" s="84"/>
      <c r="BM112" s="84"/>
      <c r="BN112" s="84"/>
      <c r="BO112" s="84"/>
      <c r="BP112" s="84"/>
      <c r="BQ112" s="84"/>
      <c r="BR112" s="84"/>
      <c r="BS112" s="84"/>
      <c r="BT112" s="84"/>
    </row>
    <row r="113" spans="1:72" ht="15.75" thickBot="1">
      <c r="A113" s="2"/>
      <c r="B113" s="143"/>
      <c r="C113" s="142"/>
      <c r="D113" s="144" t="str">
        <f t="shared" si="9"/>
        <v/>
      </c>
      <c r="E113" s="149" t="str">
        <f t="shared" si="10"/>
        <v/>
      </c>
      <c r="F113" s="145" t="str">
        <f t="shared" si="11"/>
        <v/>
      </c>
      <c r="G113" s="145" t="str">
        <f t="shared" si="12"/>
        <v/>
      </c>
      <c r="H113" s="146" t="str">
        <f t="shared" si="13"/>
        <v/>
      </c>
      <c r="I113" s="148" t="str">
        <f t="shared" si="15"/>
        <v/>
      </c>
      <c r="J113" s="147" t="str">
        <f t="shared" si="14"/>
        <v/>
      </c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  <c r="AL113" s="84"/>
      <c r="AM113" s="84"/>
      <c r="AN113" s="84"/>
      <c r="AO113" s="84"/>
      <c r="AP113" s="84"/>
      <c r="AQ113" s="84"/>
      <c r="AR113" s="84"/>
      <c r="AS113" s="84"/>
      <c r="AT113" s="84"/>
      <c r="AU113" s="84"/>
      <c r="AV113" s="84"/>
      <c r="AW113" s="84"/>
      <c r="AX113" s="84"/>
      <c r="AY113" s="84"/>
      <c r="AZ113" s="84"/>
      <c r="BA113" s="84"/>
      <c r="BB113" s="84"/>
      <c r="BC113" s="84"/>
      <c r="BD113" s="84"/>
      <c r="BE113" s="84"/>
      <c r="BF113" s="84"/>
      <c r="BG113" s="84"/>
      <c r="BH113" s="84"/>
      <c r="BI113" s="84"/>
      <c r="BJ113" s="84"/>
      <c r="BK113" s="84"/>
      <c r="BL113" s="84"/>
      <c r="BM113" s="84"/>
      <c r="BN113" s="84"/>
      <c r="BO113" s="84"/>
      <c r="BP113" s="84"/>
      <c r="BQ113" s="84"/>
      <c r="BR113" s="84"/>
      <c r="BS113" s="84"/>
      <c r="BT113" s="84"/>
    </row>
    <row r="114" spans="1:72" ht="15.75" thickBot="1">
      <c r="A114" s="2"/>
      <c r="B114" s="143"/>
      <c r="C114" s="142"/>
      <c r="D114" s="144" t="str">
        <f t="shared" si="9"/>
        <v/>
      </c>
      <c r="E114" s="149" t="str">
        <f t="shared" si="10"/>
        <v/>
      </c>
      <c r="F114" s="145" t="str">
        <f t="shared" si="11"/>
        <v/>
      </c>
      <c r="G114" s="145" t="str">
        <f t="shared" si="12"/>
        <v/>
      </c>
      <c r="H114" s="146" t="str">
        <f t="shared" si="13"/>
        <v/>
      </c>
      <c r="I114" s="148" t="str">
        <f t="shared" si="15"/>
        <v/>
      </c>
      <c r="J114" s="147" t="str">
        <f t="shared" si="14"/>
        <v/>
      </c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  <c r="AL114" s="84"/>
      <c r="AM114" s="84"/>
      <c r="AN114" s="84"/>
      <c r="AO114" s="84"/>
      <c r="AP114" s="84"/>
      <c r="AQ114" s="84"/>
      <c r="AR114" s="84"/>
      <c r="AS114" s="84"/>
      <c r="AT114" s="84"/>
      <c r="AU114" s="84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  <c r="BN114" s="84"/>
      <c r="BO114" s="84"/>
      <c r="BP114" s="84"/>
      <c r="BQ114" s="84"/>
      <c r="BR114" s="84"/>
      <c r="BS114" s="84"/>
      <c r="BT114" s="84"/>
    </row>
    <row r="115" spans="1:72" ht="15.75" thickBot="1">
      <c r="A115" s="2"/>
      <c r="B115" s="143"/>
      <c r="C115" s="142"/>
      <c r="D115" s="144" t="str">
        <f t="shared" si="9"/>
        <v/>
      </c>
      <c r="E115" s="149" t="str">
        <f t="shared" si="10"/>
        <v/>
      </c>
      <c r="F115" s="145" t="str">
        <f t="shared" si="11"/>
        <v/>
      </c>
      <c r="G115" s="145" t="str">
        <f t="shared" si="12"/>
        <v/>
      </c>
      <c r="H115" s="146" t="str">
        <f t="shared" si="13"/>
        <v/>
      </c>
      <c r="I115" s="148" t="str">
        <f t="shared" si="15"/>
        <v/>
      </c>
      <c r="J115" s="147" t="str">
        <f t="shared" si="14"/>
        <v/>
      </c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  <c r="AL115" s="84"/>
      <c r="AM115" s="84"/>
      <c r="AN115" s="84"/>
      <c r="AO115" s="84"/>
      <c r="AP115" s="84"/>
      <c r="AQ115" s="84"/>
      <c r="AR115" s="84"/>
      <c r="AS115" s="84"/>
      <c r="AT115" s="84"/>
      <c r="AU115" s="84"/>
      <c r="AV115" s="84"/>
      <c r="AW115" s="84"/>
      <c r="AX115" s="84"/>
      <c r="AY115" s="84"/>
      <c r="AZ115" s="84"/>
      <c r="BA115" s="84"/>
      <c r="BB115" s="84"/>
      <c r="BC115" s="84"/>
      <c r="BD115" s="84"/>
      <c r="BE115" s="84"/>
      <c r="BF115" s="84"/>
      <c r="BG115" s="84"/>
      <c r="BH115" s="84"/>
      <c r="BI115" s="84"/>
      <c r="BJ115" s="84"/>
      <c r="BK115" s="84"/>
      <c r="BL115" s="84"/>
      <c r="BM115" s="84"/>
      <c r="BN115" s="84"/>
      <c r="BO115" s="84"/>
      <c r="BP115" s="84"/>
      <c r="BQ115" s="84"/>
      <c r="BR115" s="84"/>
      <c r="BS115" s="84"/>
      <c r="BT115" s="84"/>
    </row>
    <row r="116" spans="1:72">
      <c r="A116" s="84"/>
      <c r="B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  <c r="AL116" s="84"/>
      <c r="AM116" s="84"/>
      <c r="AN116" s="84"/>
      <c r="AO116" s="84"/>
      <c r="AP116" s="84"/>
      <c r="AQ116" s="84"/>
      <c r="AR116" s="84"/>
      <c r="AS116" s="84"/>
      <c r="AT116" s="84"/>
      <c r="AU116" s="84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  <c r="BN116" s="84"/>
      <c r="BO116" s="84"/>
      <c r="BP116" s="84"/>
      <c r="BQ116" s="84"/>
      <c r="BR116" s="84"/>
      <c r="BS116" s="84"/>
      <c r="BT116" s="84"/>
    </row>
    <row r="117" spans="1:72">
      <c r="A117" s="84"/>
      <c r="B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84"/>
      <c r="AD117" s="84"/>
      <c r="AE117" s="84"/>
      <c r="AF117" s="84"/>
      <c r="AG117" s="84"/>
      <c r="AH117" s="84"/>
      <c r="AI117" s="84"/>
      <c r="AJ117" s="84"/>
      <c r="AK117" s="84"/>
      <c r="AL117" s="84"/>
      <c r="AM117" s="84"/>
      <c r="AN117" s="84"/>
      <c r="AO117" s="84"/>
      <c r="AP117" s="84"/>
      <c r="AQ117" s="84"/>
      <c r="AR117" s="84"/>
      <c r="AS117" s="84"/>
      <c r="AT117" s="84"/>
      <c r="AU117" s="84"/>
      <c r="AV117" s="84"/>
      <c r="AW117" s="84"/>
      <c r="AX117" s="84"/>
      <c r="AY117" s="84"/>
      <c r="AZ117" s="84"/>
      <c r="BA117" s="84"/>
      <c r="BB117" s="84"/>
      <c r="BC117" s="84"/>
      <c r="BD117" s="84"/>
      <c r="BE117" s="84"/>
      <c r="BF117" s="84"/>
      <c r="BG117" s="84"/>
      <c r="BH117" s="84"/>
      <c r="BI117" s="84"/>
      <c r="BJ117" s="84"/>
      <c r="BK117" s="84"/>
      <c r="BL117" s="84"/>
      <c r="BM117" s="84"/>
      <c r="BN117" s="84"/>
      <c r="BO117" s="84"/>
      <c r="BP117" s="84"/>
      <c r="BQ117" s="84"/>
      <c r="BR117" s="84"/>
      <c r="BS117" s="84"/>
      <c r="BT117" s="84"/>
    </row>
    <row r="118" spans="1:72">
      <c r="A118" s="84"/>
      <c r="B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  <c r="BP118" s="84"/>
      <c r="BQ118" s="84"/>
      <c r="BR118" s="84"/>
      <c r="BS118" s="84"/>
      <c r="BT118" s="84"/>
    </row>
    <row r="119" spans="1:72">
      <c r="A119" s="84"/>
      <c r="B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  <c r="AL119" s="84"/>
      <c r="AM119" s="84"/>
      <c r="AN119" s="84"/>
      <c r="AO119" s="84"/>
      <c r="AP119" s="84"/>
      <c r="AQ119" s="84"/>
      <c r="AR119" s="84"/>
      <c r="AS119" s="84"/>
      <c r="AT119" s="84"/>
      <c r="AU119" s="84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  <c r="BN119" s="84"/>
      <c r="BO119" s="84"/>
      <c r="BP119" s="84"/>
      <c r="BQ119" s="84"/>
      <c r="BR119" s="84"/>
      <c r="BS119" s="84"/>
      <c r="BT119" s="84"/>
    </row>
    <row r="120" spans="1:72">
      <c r="A120" s="84"/>
      <c r="B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  <c r="AL120" s="84"/>
      <c r="AM120" s="84"/>
      <c r="AN120" s="84"/>
      <c r="AO120" s="84"/>
      <c r="AP120" s="84"/>
      <c r="AQ120" s="84"/>
      <c r="AR120" s="84"/>
      <c r="AS120" s="84"/>
      <c r="AT120" s="84"/>
      <c r="AU120" s="84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  <c r="BP120" s="84"/>
      <c r="BQ120" s="84"/>
      <c r="BR120" s="84"/>
      <c r="BS120" s="84"/>
      <c r="BT120" s="84"/>
    </row>
    <row r="121" spans="1:72">
      <c r="A121" s="84"/>
      <c r="B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  <c r="AL121" s="84"/>
      <c r="AM121" s="84"/>
      <c r="AN121" s="84"/>
      <c r="AO121" s="84"/>
      <c r="AP121" s="84"/>
      <c r="AQ121" s="84"/>
      <c r="AR121" s="84"/>
      <c r="AS121" s="84"/>
      <c r="AT121" s="84"/>
      <c r="AU121" s="84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  <c r="BN121" s="84"/>
      <c r="BO121" s="84"/>
      <c r="BP121" s="84"/>
      <c r="BQ121" s="84"/>
      <c r="BR121" s="84"/>
      <c r="BS121" s="84"/>
      <c r="BT121" s="84"/>
    </row>
    <row r="122" spans="1:72">
      <c r="A122" s="84"/>
      <c r="B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  <c r="W122" s="84"/>
      <c r="X122" s="84"/>
      <c r="Y122" s="84"/>
      <c r="Z122" s="84"/>
      <c r="AA122" s="84"/>
      <c r="AB122" s="84"/>
      <c r="AC122" s="84"/>
      <c r="AD122" s="84"/>
      <c r="AE122" s="84"/>
      <c r="AF122" s="84"/>
      <c r="AG122" s="84"/>
      <c r="AH122" s="84"/>
      <c r="AI122" s="84"/>
      <c r="AJ122" s="84"/>
      <c r="AK122" s="84"/>
      <c r="AL122" s="84"/>
      <c r="AM122" s="84"/>
      <c r="AN122" s="84"/>
      <c r="AO122" s="84"/>
      <c r="AP122" s="84"/>
      <c r="AQ122" s="84"/>
      <c r="AR122" s="84"/>
      <c r="AS122" s="84"/>
      <c r="AT122" s="84"/>
      <c r="AU122" s="84"/>
      <c r="AV122" s="84"/>
      <c r="AW122" s="84"/>
      <c r="AX122" s="84"/>
      <c r="AY122" s="84"/>
      <c r="AZ122" s="84"/>
      <c r="BA122" s="84"/>
      <c r="BB122" s="84"/>
      <c r="BC122" s="84"/>
      <c r="BD122" s="84"/>
      <c r="BE122" s="84"/>
      <c r="BF122" s="84"/>
      <c r="BG122" s="84"/>
      <c r="BH122" s="84"/>
      <c r="BI122" s="84"/>
      <c r="BJ122" s="84"/>
      <c r="BK122" s="84"/>
      <c r="BL122" s="84"/>
      <c r="BM122" s="84"/>
      <c r="BN122" s="84"/>
      <c r="BO122" s="84"/>
      <c r="BP122" s="84"/>
      <c r="BQ122" s="84"/>
      <c r="BR122" s="84"/>
      <c r="BS122" s="84"/>
      <c r="BT122" s="84"/>
    </row>
    <row r="123" spans="1:72">
      <c r="A123" s="84"/>
      <c r="B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  <c r="AH123" s="84"/>
      <c r="AI123" s="84"/>
      <c r="AJ123" s="84"/>
      <c r="AK123" s="84"/>
      <c r="AL123" s="84"/>
      <c r="AM123" s="84"/>
      <c r="AN123" s="84"/>
      <c r="AO123" s="84"/>
      <c r="AP123" s="84"/>
      <c r="AQ123" s="84"/>
      <c r="AR123" s="84"/>
      <c r="AS123" s="84"/>
      <c r="AT123" s="84"/>
      <c r="AU123" s="84"/>
      <c r="AV123" s="84"/>
      <c r="AW123" s="84"/>
      <c r="AX123" s="84"/>
      <c r="AY123" s="84"/>
      <c r="AZ123" s="84"/>
      <c r="BA123" s="84"/>
      <c r="BB123" s="84"/>
      <c r="BC123" s="84"/>
      <c r="BD123" s="84"/>
      <c r="BE123" s="84"/>
      <c r="BF123" s="84"/>
      <c r="BG123" s="84"/>
      <c r="BH123" s="84"/>
      <c r="BI123" s="84"/>
      <c r="BJ123" s="84"/>
      <c r="BK123" s="84"/>
      <c r="BL123" s="84"/>
      <c r="BM123" s="84"/>
      <c r="BN123" s="84"/>
      <c r="BO123" s="84"/>
      <c r="BP123" s="84"/>
      <c r="BQ123" s="84"/>
      <c r="BR123" s="84"/>
      <c r="BS123" s="84"/>
      <c r="BT123" s="84"/>
    </row>
    <row r="124" spans="1:72">
      <c r="A124" s="84"/>
      <c r="B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  <c r="AL124" s="84"/>
      <c r="AM124" s="84"/>
      <c r="AN124" s="84"/>
      <c r="AO124" s="84"/>
      <c r="AP124" s="84"/>
      <c r="AQ124" s="84"/>
      <c r="AR124" s="84"/>
      <c r="AS124" s="84"/>
      <c r="AT124" s="84"/>
      <c r="AU124" s="84"/>
      <c r="AV124" s="84"/>
      <c r="AW124" s="84"/>
      <c r="AX124" s="84"/>
      <c r="AY124" s="84"/>
      <c r="AZ124" s="84"/>
      <c r="BA124" s="84"/>
      <c r="BB124" s="84"/>
      <c r="BC124" s="84"/>
      <c r="BD124" s="84"/>
      <c r="BE124" s="84"/>
      <c r="BF124" s="84"/>
      <c r="BG124" s="84"/>
      <c r="BH124" s="84"/>
      <c r="BI124" s="84"/>
      <c r="BJ124" s="84"/>
      <c r="BK124" s="84"/>
      <c r="BL124" s="84"/>
      <c r="BM124" s="84"/>
      <c r="BN124" s="84"/>
      <c r="BO124" s="84"/>
      <c r="BP124" s="84"/>
      <c r="BQ124" s="84"/>
      <c r="BR124" s="84"/>
      <c r="BS124" s="84"/>
      <c r="BT124" s="84"/>
    </row>
    <row r="125" spans="1:72">
      <c r="A125" s="84"/>
      <c r="B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  <c r="AB125" s="84"/>
      <c r="AC125" s="84"/>
      <c r="AD125" s="84"/>
      <c r="AE125" s="84"/>
      <c r="AF125" s="84"/>
      <c r="AG125" s="84"/>
      <c r="AH125" s="84"/>
      <c r="AI125" s="84"/>
      <c r="AJ125" s="84"/>
      <c r="AK125" s="84"/>
      <c r="AL125" s="84"/>
      <c r="AM125" s="84"/>
      <c r="AN125" s="84"/>
      <c r="AO125" s="84"/>
      <c r="AP125" s="84"/>
      <c r="AQ125" s="84"/>
      <c r="AR125" s="84"/>
      <c r="AS125" s="84"/>
      <c r="AT125" s="84"/>
      <c r="AU125" s="84"/>
      <c r="AV125" s="84"/>
      <c r="AW125" s="84"/>
      <c r="AX125" s="84"/>
      <c r="AY125" s="84"/>
      <c r="AZ125" s="84"/>
      <c r="BA125" s="84"/>
      <c r="BB125" s="84"/>
      <c r="BC125" s="84"/>
      <c r="BD125" s="84"/>
      <c r="BE125" s="84"/>
      <c r="BF125" s="84"/>
      <c r="BG125" s="84"/>
      <c r="BH125" s="84"/>
      <c r="BI125" s="84"/>
      <c r="BJ125" s="84"/>
      <c r="BK125" s="84"/>
      <c r="BL125" s="84"/>
      <c r="BM125" s="84"/>
      <c r="BN125" s="84"/>
      <c r="BO125" s="84"/>
      <c r="BP125" s="84"/>
      <c r="BQ125" s="84"/>
      <c r="BR125" s="84"/>
      <c r="BS125" s="84"/>
      <c r="BT125" s="84"/>
    </row>
    <row r="126" spans="1:72">
      <c r="A126" s="84"/>
      <c r="B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  <c r="AL126" s="84"/>
      <c r="AM126" s="84"/>
      <c r="AN126" s="84"/>
      <c r="AO126" s="84"/>
      <c r="AP126" s="84"/>
      <c r="AQ126" s="84"/>
      <c r="AR126" s="84"/>
      <c r="AS126" s="84"/>
      <c r="AT126" s="84"/>
      <c r="AU126" s="84"/>
      <c r="AV126" s="84"/>
      <c r="AW126" s="84"/>
      <c r="AX126" s="84"/>
      <c r="AY126" s="84"/>
      <c r="AZ126" s="84"/>
      <c r="BA126" s="84"/>
      <c r="BB126" s="84"/>
      <c r="BC126" s="84"/>
      <c r="BD126" s="84"/>
      <c r="BE126" s="84"/>
      <c r="BF126" s="84"/>
      <c r="BG126" s="84"/>
      <c r="BH126" s="84"/>
      <c r="BI126" s="84"/>
      <c r="BJ126" s="84"/>
      <c r="BK126" s="84"/>
      <c r="BL126" s="84"/>
      <c r="BM126" s="84"/>
      <c r="BN126" s="84"/>
      <c r="BO126" s="84"/>
      <c r="BP126" s="84"/>
      <c r="BQ126" s="84"/>
      <c r="BR126" s="84"/>
      <c r="BS126" s="84"/>
      <c r="BT126" s="84"/>
    </row>
    <row r="127" spans="1:72">
      <c r="A127" s="84"/>
      <c r="B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  <c r="AL127" s="84"/>
      <c r="AM127" s="84"/>
      <c r="AN127" s="84"/>
      <c r="AO127" s="84"/>
      <c r="AP127" s="84"/>
      <c r="AQ127" s="84"/>
      <c r="AR127" s="84"/>
      <c r="AS127" s="84"/>
      <c r="AT127" s="84"/>
      <c r="AU127" s="84"/>
      <c r="AV127" s="84"/>
      <c r="AW127" s="84"/>
      <c r="AX127" s="84"/>
      <c r="AY127" s="84"/>
      <c r="AZ127" s="84"/>
      <c r="BA127" s="84"/>
      <c r="BB127" s="84"/>
      <c r="BC127" s="84"/>
      <c r="BD127" s="84"/>
      <c r="BE127" s="84"/>
      <c r="BF127" s="84"/>
      <c r="BG127" s="84"/>
      <c r="BH127" s="84"/>
      <c r="BI127" s="84"/>
      <c r="BJ127" s="84"/>
      <c r="BK127" s="84"/>
      <c r="BL127" s="84"/>
      <c r="BM127" s="84"/>
      <c r="BN127" s="84"/>
      <c r="BO127" s="84"/>
      <c r="BP127" s="84"/>
      <c r="BQ127" s="84"/>
      <c r="BR127" s="84"/>
      <c r="BS127" s="84"/>
      <c r="BT127" s="84"/>
    </row>
    <row r="128" spans="1:72">
      <c r="A128" s="84"/>
      <c r="B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  <c r="W128" s="84"/>
      <c r="X128" s="84"/>
      <c r="Y128" s="84"/>
      <c r="Z128" s="84"/>
      <c r="AA128" s="84"/>
      <c r="AB128" s="84"/>
      <c r="AC128" s="84"/>
      <c r="AD128" s="84"/>
      <c r="AE128" s="84"/>
      <c r="AF128" s="84"/>
      <c r="AG128" s="84"/>
      <c r="AH128" s="84"/>
      <c r="AI128" s="84"/>
      <c r="AJ128" s="84"/>
      <c r="AK128" s="84"/>
      <c r="AL128" s="84"/>
      <c r="AM128" s="84"/>
      <c r="AN128" s="84"/>
      <c r="AO128" s="84"/>
      <c r="AP128" s="84"/>
      <c r="AQ128" s="84"/>
      <c r="AR128" s="84"/>
      <c r="AS128" s="84"/>
      <c r="AT128" s="84"/>
      <c r="AU128" s="84"/>
      <c r="AV128" s="84"/>
      <c r="AW128" s="84"/>
      <c r="AX128" s="84"/>
      <c r="AY128" s="84"/>
      <c r="AZ128" s="84"/>
      <c r="BA128" s="84"/>
      <c r="BB128" s="84"/>
      <c r="BC128" s="84"/>
      <c r="BD128" s="84"/>
      <c r="BE128" s="84"/>
      <c r="BF128" s="84"/>
      <c r="BG128" s="84"/>
      <c r="BH128" s="84"/>
      <c r="BI128" s="84"/>
      <c r="BJ128" s="84"/>
      <c r="BK128" s="84"/>
      <c r="BL128" s="84"/>
      <c r="BM128" s="84"/>
      <c r="BN128" s="84"/>
      <c r="BO128" s="84"/>
      <c r="BP128" s="84"/>
      <c r="BQ128" s="84"/>
      <c r="BR128" s="84"/>
      <c r="BS128" s="84"/>
      <c r="BT128" s="84"/>
    </row>
    <row r="129" spans="1:72">
      <c r="A129" s="84"/>
      <c r="B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 s="84"/>
      <c r="AB129" s="84"/>
      <c r="AC129" s="84"/>
      <c r="AD129" s="84"/>
      <c r="AE129" s="84"/>
      <c r="AF129" s="84"/>
      <c r="AG129" s="84"/>
      <c r="AH129" s="84"/>
      <c r="AI129" s="84"/>
      <c r="AJ129" s="84"/>
      <c r="AK129" s="84"/>
      <c r="AL129" s="84"/>
      <c r="AM129" s="84"/>
      <c r="AN129" s="84"/>
      <c r="AO129" s="84"/>
      <c r="AP129" s="84"/>
      <c r="AQ129" s="84"/>
      <c r="AR129" s="84"/>
      <c r="AS129" s="84"/>
      <c r="AT129" s="84"/>
      <c r="AU129" s="84"/>
      <c r="AV129" s="84"/>
      <c r="AW129" s="84"/>
      <c r="AX129" s="84"/>
      <c r="AY129" s="84"/>
      <c r="AZ129" s="84"/>
      <c r="BA129" s="84"/>
      <c r="BB129" s="84"/>
      <c r="BC129" s="84"/>
      <c r="BD129" s="84"/>
      <c r="BE129" s="84"/>
      <c r="BF129" s="84"/>
      <c r="BG129" s="84"/>
      <c r="BH129" s="84"/>
      <c r="BI129" s="84"/>
      <c r="BJ129" s="84"/>
      <c r="BK129" s="84"/>
      <c r="BL129" s="84"/>
      <c r="BM129" s="84"/>
      <c r="BN129" s="84"/>
      <c r="BO129" s="84"/>
      <c r="BP129" s="84"/>
      <c r="BQ129" s="84"/>
      <c r="BR129" s="84"/>
      <c r="BS129" s="84"/>
      <c r="BT129" s="84"/>
    </row>
    <row r="130" spans="1:72">
      <c r="A130" s="84"/>
      <c r="B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  <c r="AL130" s="84"/>
      <c r="AM130" s="84"/>
      <c r="AN130" s="84"/>
      <c r="AO130" s="84"/>
      <c r="AP130" s="84"/>
      <c r="AQ130" s="84"/>
      <c r="AR130" s="84"/>
      <c r="AS130" s="84"/>
      <c r="AT130" s="84"/>
      <c r="AU130" s="84"/>
      <c r="AV130" s="84"/>
      <c r="AW130" s="84"/>
      <c r="AX130" s="84"/>
      <c r="AY130" s="84"/>
      <c r="AZ130" s="84"/>
      <c r="BA130" s="84"/>
      <c r="BB130" s="84"/>
      <c r="BC130" s="84"/>
      <c r="BD130" s="84"/>
      <c r="BE130" s="84"/>
      <c r="BF130" s="84"/>
      <c r="BG130" s="84"/>
      <c r="BH130" s="84"/>
      <c r="BI130" s="84"/>
      <c r="BJ130" s="84"/>
      <c r="BK130" s="84"/>
      <c r="BL130" s="84"/>
      <c r="BM130" s="84"/>
      <c r="BN130" s="84"/>
      <c r="BO130" s="84"/>
      <c r="BP130" s="84"/>
      <c r="BQ130" s="84"/>
      <c r="BR130" s="84"/>
      <c r="BS130" s="84"/>
      <c r="BT130" s="84"/>
    </row>
    <row r="131" spans="1:72">
      <c r="A131" s="84"/>
      <c r="B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  <c r="AL131" s="84"/>
      <c r="AM131" s="84"/>
      <c r="AN131" s="84"/>
      <c r="AO131" s="84"/>
      <c r="AP131" s="84"/>
      <c r="AQ131" s="84"/>
      <c r="AR131" s="84"/>
      <c r="AS131" s="84"/>
      <c r="AT131" s="84"/>
      <c r="AU131" s="84"/>
      <c r="AV131" s="84"/>
      <c r="AW131" s="84"/>
      <c r="AX131" s="84"/>
      <c r="AY131" s="84"/>
      <c r="AZ131" s="84"/>
      <c r="BA131" s="84"/>
      <c r="BB131" s="84"/>
      <c r="BC131" s="84"/>
      <c r="BD131" s="84"/>
      <c r="BE131" s="84"/>
      <c r="BF131" s="84"/>
      <c r="BG131" s="84"/>
      <c r="BH131" s="84"/>
      <c r="BI131" s="84"/>
      <c r="BJ131" s="84"/>
      <c r="BK131" s="84"/>
      <c r="BL131" s="84"/>
      <c r="BM131" s="84"/>
      <c r="BN131" s="84"/>
      <c r="BO131" s="84"/>
      <c r="BP131" s="84"/>
      <c r="BQ131" s="84"/>
      <c r="BR131" s="84"/>
      <c r="BS131" s="84"/>
      <c r="BT131" s="84"/>
    </row>
    <row r="132" spans="1:72">
      <c r="A132" s="84"/>
      <c r="B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  <c r="AL132" s="84"/>
      <c r="AM132" s="84"/>
      <c r="AN132" s="84"/>
      <c r="AO132" s="84"/>
      <c r="AP132" s="84"/>
      <c r="AQ132" s="84"/>
      <c r="AR132" s="84"/>
      <c r="AS132" s="84"/>
      <c r="AT132" s="84"/>
      <c r="AU132" s="84"/>
      <c r="AV132" s="84"/>
      <c r="AW132" s="84"/>
      <c r="AX132" s="84"/>
      <c r="AY132" s="84"/>
      <c r="AZ132" s="84"/>
      <c r="BA132" s="84"/>
      <c r="BB132" s="84"/>
      <c r="BC132" s="84"/>
      <c r="BD132" s="84"/>
      <c r="BE132" s="84"/>
      <c r="BF132" s="84"/>
      <c r="BG132" s="84"/>
      <c r="BH132" s="84"/>
      <c r="BI132" s="84"/>
      <c r="BJ132" s="84"/>
      <c r="BK132" s="84"/>
      <c r="BL132" s="84"/>
      <c r="BM132" s="84"/>
      <c r="BN132" s="84"/>
      <c r="BO132" s="84"/>
      <c r="BP132" s="84"/>
      <c r="BQ132" s="84"/>
      <c r="BR132" s="84"/>
      <c r="BS132" s="84"/>
      <c r="BT132" s="84"/>
    </row>
    <row r="133" spans="1:72">
      <c r="A133" s="84"/>
      <c r="B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  <c r="AL133" s="84"/>
      <c r="AM133" s="84"/>
      <c r="AN133" s="84"/>
      <c r="AO133" s="84"/>
      <c r="AP133" s="84"/>
      <c r="AQ133" s="84"/>
      <c r="AR133" s="84"/>
      <c r="AS133" s="84"/>
      <c r="AT133" s="84"/>
      <c r="AU133" s="84"/>
      <c r="AV133" s="84"/>
      <c r="AW133" s="84"/>
      <c r="AX133" s="84"/>
      <c r="AY133" s="84"/>
      <c r="AZ133" s="84"/>
      <c r="BA133" s="84"/>
      <c r="BB133" s="84"/>
      <c r="BC133" s="84"/>
      <c r="BD133" s="84"/>
      <c r="BE133" s="84"/>
      <c r="BF133" s="84"/>
      <c r="BG133" s="84"/>
      <c r="BH133" s="84"/>
      <c r="BI133" s="84"/>
      <c r="BJ133" s="84"/>
      <c r="BK133" s="84"/>
      <c r="BL133" s="84"/>
      <c r="BM133" s="84"/>
      <c r="BN133" s="84"/>
      <c r="BO133" s="84"/>
      <c r="BP133" s="84"/>
      <c r="BQ133" s="84"/>
      <c r="BR133" s="84"/>
      <c r="BS133" s="84"/>
      <c r="BT133" s="84"/>
    </row>
    <row r="134" spans="1:72">
      <c r="A134" s="84"/>
      <c r="B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  <c r="AA134" s="84"/>
      <c r="AB134" s="84"/>
      <c r="AC134" s="84"/>
      <c r="AD134" s="84"/>
      <c r="AE134" s="84"/>
      <c r="AF134" s="84"/>
      <c r="AG134" s="84"/>
      <c r="AH134" s="84"/>
      <c r="AI134" s="84"/>
      <c r="AJ134" s="84"/>
      <c r="AK134" s="84"/>
      <c r="AL134" s="84"/>
      <c r="AM134" s="84"/>
      <c r="AN134" s="84"/>
      <c r="AO134" s="84"/>
      <c r="AP134" s="84"/>
      <c r="AQ134" s="84"/>
      <c r="AR134" s="84"/>
      <c r="AS134" s="84"/>
      <c r="AT134" s="84"/>
      <c r="AU134" s="84"/>
      <c r="AV134" s="84"/>
      <c r="AW134" s="84"/>
      <c r="AX134" s="84"/>
      <c r="AY134" s="84"/>
      <c r="AZ134" s="84"/>
      <c r="BA134" s="84"/>
      <c r="BB134" s="84"/>
      <c r="BC134" s="84"/>
      <c r="BD134" s="84"/>
      <c r="BE134" s="84"/>
      <c r="BF134" s="84"/>
      <c r="BG134" s="84"/>
      <c r="BH134" s="84"/>
      <c r="BI134" s="84"/>
      <c r="BJ134" s="84"/>
      <c r="BK134" s="84"/>
      <c r="BL134" s="84"/>
      <c r="BM134" s="84"/>
      <c r="BN134" s="84"/>
      <c r="BO134" s="84"/>
      <c r="BP134" s="84"/>
      <c r="BQ134" s="84"/>
      <c r="BR134" s="84"/>
      <c r="BS134" s="84"/>
      <c r="BT134" s="84"/>
    </row>
    <row r="135" spans="1:72">
      <c r="A135" s="84"/>
      <c r="B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  <c r="AL135" s="84"/>
      <c r="AM135" s="84"/>
      <c r="AN135" s="84"/>
      <c r="AO135" s="84"/>
      <c r="AP135" s="84"/>
      <c r="AQ135" s="84"/>
      <c r="AR135" s="84"/>
      <c r="AS135" s="84"/>
      <c r="AT135" s="84"/>
      <c r="AU135" s="84"/>
      <c r="AV135" s="84"/>
      <c r="AW135" s="84"/>
      <c r="AX135" s="84"/>
      <c r="AY135" s="84"/>
      <c r="AZ135" s="84"/>
      <c r="BA135" s="84"/>
      <c r="BB135" s="84"/>
      <c r="BC135" s="84"/>
      <c r="BD135" s="84"/>
      <c r="BE135" s="84"/>
      <c r="BF135" s="84"/>
      <c r="BG135" s="84"/>
      <c r="BH135" s="84"/>
      <c r="BI135" s="84"/>
      <c r="BJ135" s="84"/>
      <c r="BK135" s="84"/>
      <c r="BL135" s="84"/>
      <c r="BM135" s="84"/>
      <c r="BN135" s="84"/>
      <c r="BO135" s="84"/>
      <c r="BP135" s="84"/>
      <c r="BQ135" s="84"/>
      <c r="BR135" s="84"/>
      <c r="BS135" s="84"/>
      <c r="BT135" s="84"/>
    </row>
    <row r="136" spans="1:72">
      <c r="A136" s="84"/>
      <c r="B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  <c r="AL136" s="84"/>
      <c r="AM136" s="84"/>
      <c r="AN136" s="84"/>
      <c r="AO136" s="84"/>
      <c r="AP136" s="84"/>
      <c r="AQ136" s="84"/>
      <c r="AR136" s="84"/>
      <c r="AS136" s="84"/>
      <c r="AT136" s="84"/>
      <c r="AU136" s="84"/>
      <c r="AV136" s="84"/>
      <c r="AW136" s="84"/>
      <c r="AX136" s="84"/>
      <c r="AY136" s="84"/>
      <c r="AZ136" s="84"/>
      <c r="BA136" s="84"/>
      <c r="BB136" s="84"/>
      <c r="BC136" s="84"/>
      <c r="BD136" s="84"/>
      <c r="BE136" s="84"/>
      <c r="BF136" s="84"/>
      <c r="BG136" s="84"/>
      <c r="BH136" s="84"/>
      <c r="BI136" s="84"/>
      <c r="BJ136" s="84"/>
      <c r="BK136" s="84"/>
      <c r="BL136" s="84"/>
      <c r="BM136" s="84"/>
      <c r="BN136" s="84"/>
      <c r="BO136" s="84"/>
      <c r="BP136" s="84"/>
      <c r="BQ136" s="84"/>
      <c r="BR136" s="84"/>
      <c r="BS136" s="84"/>
      <c r="BT136" s="84"/>
    </row>
    <row r="137" spans="1:72">
      <c r="A137" s="84"/>
      <c r="B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  <c r="AL137" s="84"/>
      <c r="AM137" s="84"/>
      <c r="AN137" s="84"/>
      <c r="AO137" s="84"/>
      <c r="AP137" s="84"/>
      <c r="AQ137" s="84"/>
      <c r="AR137" s="84"/>
      <c r="AS137" s="84"/>
      <c r="AT137" s="84"/>
      <c r="AU137" s="84"/>
      <c r="AV137" s="84"/>
      <c r="AW137" s="84"/>
      <c r="AX137" s="84"/>
      <c r="AY137" s="84"/>
      <c r="AZ137" s="84"/>
      <c r="BA137" s="84"/>
      <c r="BB137" s="84"/>
      <c r="BC137" s="84"/>
      <c r="BD137" s="84"/>
      <c r="BE137" s="84"/>
      <c r="BF137" s="84"/>
      <c r="BG137" s="84"/>
      <c r="BH137" s="84"/>
      <c r="BI137" s="84"/>
      <c r="BJ137" s="84"/>
      <c r="BK137" s="84"/>
      <c r="BL137" s="84"/>
      <c r="BM137" s="84"/>
      <c r="BN137" s="84"/>
      <c r="BO137" s="84"/>
      <c r="BP137" s="84"/>
      <c r="BQ137" s="84"/>
      <c r="BR137" s="84"/>
      <c r="BS137" s="84"/>
      <c r="BT137" s="84"/>
    </row>
    <row r="138" spans="1:72">
      <c r="A138" s="84"/>
      <c r="B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  <c r="AL138" s="84"/>
      <c r="AM138" s="84"/>
      <c r="AN138" s="84"/>
      <c r="AO138" s="84"/>
      <c r="AP138" s="84"/>
      <c r="AQ138" s="84"/>
      <c r="AR138" s="84"/>
      <c r="AS138" s="84"/>
      <c r="AT138" s="84"/>
      <c r="AU138" s="84"/>
      <c r="AV138" s="84"/>
      <c r="AW138" s="84"/>
      <c r="AX138" s="84"/>
      <c r="AY138" s="84"/>
      <c r="AZ138" s="84"/>
      <c r="BA138" s="84"/>
      <c r="BB138" s="84"/>
      <c r="BC138" s="84"/>
      <c r="BD138" s="84"/>
      <c r="BE138" s="84"/>
      <c r="BF138" s="84"/>
      <c r="BG138" s="84"/>
      <c r="BH138" s="84"/>
      <c r="BI138" s="84"/>
      <c r="BJ138" s="84"/>
      <c r="BK138" s="84"/>
      <c r="BL138" s="84"/>
      <c r="BM138" s="84"/>
      <c r="BN138" s="84"/>
      <c r="BO138" s="84"/>
      <c r="BP138" s="84"/>
      <c r="BQ138" s="84"/>
      <c r="BR138" s="84"/>
      <c r="BS138" s="84"/>
      <c r="BT138" s="84"/>
    </row>
    <row r="139" spans="1:72">
      <c r="A139" s="84"/>
      <c r="B139" s="8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  <c r="W139" s="84"/>
      <c r="X139" s="84"/>
      <c r="Y139" s="84"/>
      <c r="Z139" s="84"/>
      <c r="AA139" s="84"/>
      <c r="AB139" s="84"/>
      <c r="AC139" s="84"/>
      <c r="AD139" s="84"/>
      <c r="AE139" s="84"/>
      <c r="AF139" s="84"/>
      <c r="AG139" s="84"/>
      <c r="AH139" s="84"/>
      <c r="AI139" s="84"/>
      <c r="AJ139" s="84"/>
      <c r="AK139" s="84"/>
      <c r="AL139" s="84"/>
      <c r="AM139" s="84"/>
      <c r="AN139" s="84"/>
      <c r="AO139" s="84"/>
      <c r="AP139" s="84"/>
      <c r="AQ139" s="84"/>
      <c r="AR139" s="84"/>
      <c r="AS139" s="84"/>
      <c r="AT139" s="84"/>
      <c r="AU139" s="84"/>
      <c r="AV139" s="84"/>
      <c r="AW139" s="84"/>
      <c r="AX139" s="84"/>
      <c r="AY139" s="84"/>
      <c r="AZ139" s="84"/>
      <c r="BA139" s="84"/>
      <c r="BB139" s="84"/>
      <c r="BC139" s="84"/>
      <c r="BD139" s="84"/>
      <c r="BE139" s="84"/>
      <c r="BF139" s="84"/>
      <c r="BG139" s="84"/>
      <c r="BH139" s="84"/>
      <c r="BI139" s="84"/>
      <c r="BJ139" s="84"/>
      <c r="BK139" s="84"/>
      <c r="BL139" s="84"/>
      <c r="BM139" s="84"/>
      <c r="BN139" s="84"/>
      <c r="BO139" s="84"/>
      <c r="BP139" s="84"/>
      <c r="BQ139" s="84"/>
      <c r="BR139" s="84"/>
      <c r="BS139" s="84"/>
      <c r="BT139" s="84"/>
    </row>
    <row r="140" spans="1:72">
      <c r="A140" s="84"/>
      <c r="B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4"/>
      <c r="AA140" s="84"/>
      <c r="AB140" s="84"/>
      <c r="AC140" s="84"/>
      <c r="AD140" s="84"/>
      <c r="AE140" s="84"/>
      <c r="AF140" s="84"/>
      <c r="AG140" s="84"/>
      <c r="AH140" s="84"/>
      <c r="AI140" s="84"/>
      <c r="AJ140" s="84"/>
      <c r="AK140" s="84"/>
      <c r="AL140" s="84"/>
      <c r="AM140" s="84"/>
      <c r="AN140" s="84"/>
      <c r="AO140" s="84"/>
      <c r="AP140" s="84"/>
      <c r="AQ140" s="84"/>
      <c r="AR140" s="84"/>
      <c r="AS140" s="84"/>
      <c r="AT140" s="84"/>
      <c r="AU140" s="84"/>
      <c r="AV140" s="84"/>
      <c r="AW140" s="84"/>
      <c r="AX140" s="84"/>
      <c r="AY140" s="84"/>
      <c r="AZ140" s="84"/>
      <c r="BA140" s="84"/>
      <c r="BB140" s="84"/>
      <c r="BC140" s="84"/>
      <c r="BD140" s="84"/>
      <c r="BE140" s="84"/>
      <c r="BF140" s="84"/>
      <c r="BG140" s="84"/>
      <c r="BH140" s="84"/>
      <c r="BI140" s="84"/>
      <c r="BJ140" s="84"/>
      <c r="BK140" s="84"/>
      <c r="BL140" s="84"/>
      <c r="BM140" s="84"/>
      <c r="BN140" s="84"/>
      <c r="BO140" s="84"/>
      <c r="BP140" s="84"/>
      <c r="BQ140" s="84"/>
      <c r="BR140" s="84"/>
      <c r="BS140" s="84"/>
      <c r="BT140" s="84"/>
    </row>
    <row r="141" spans="1:72">
      <c r="A141" s="84"/>
      <c r="B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  <c r="AL141" s="84"/>
      <c r="AM141" s="84"/>
      <c r="AN141" s="84"/>
      <c r="AO141" s="84"/>
      <c r="AP141" s="84"/>
      <c r="AQ141" s="84"/>
      <c r="AR141" s="84"/>
      <c r="AS141" s="84"/>
      <c r="AT141" s="84"/>
      <c r="AU141" s="84"/>
      <c r="AV141" s="84"/>
      <c r="AW141" s="84"/>
      <c r="AX141" s="84"/>
      <c r="AY141" s="84"/>
      <c r="AZ141" s="84"/>
      <c r="BA141" s="84"/>
      <c r="BB141" s="84"/>
      <c r="BC141" s="84"/>
      <c r="BD141" s="84"/>
      <c r="BE141" s="84"/>
      <c r="BF141" s="84"/>
      <c r="BG141" s="84"/>
      <c r="BH141" s="84"/>
      <c r="BI141" s="84"/>
      <c r="BJ141" s="84"/>
      <c r="BK141" s="84"/>
      <c r="BL141" s="84"/>
      <c r="BM141" s="84"/>
      <c r="BN141" s="84"/>
      <c r="BO141" s="84"/>
      <c r="BP141" s="84"/>
      <c r="BQ141" s="84"/>
      <c r="BR141" s="84"/>
      <c r="BS141" s="84"/>
      <c r="BT141" s="84"/>
    </row>
    <row r="142" spans="1:72">
      <c r="A142" s="84"/>
      <c r="B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  <c r="W142" s="84"/>
      <c r="X142" s="84"/>
      <c r="Y142" s="84"/>
      <c r="Z142" s="84"/>
      <c r="AA142" s="84"/>
      <c r="AB142" s="84"/>
      <c r="AC142" s="84"/>
      <c r="AD142" s="84"/>
      <c r="AE142" s="84"/>
      <c r="AF142" s="84"/>
      <c r="AG142" s="84"/>
      <c r="AH142" s="84"/>
      <c r="AI142" s="84"/>
      <c r="AJ142" s="84"/>
      <c r="AK142" s="84"/>
      <c r="AL142" s="84"/>
      <c r="AM142" s="84"/>
      <c r="AN142" s="84"/>
      <c r="AO142" s="84"/>
      <c r="AP142" s="84"/>
      <c r="AQ142" s="84"/>
      <c r="AR142" s="84"/>
      <c r="AS142" s="84"/>
      <c r="AT142" s="84"/>
      <c r="AU142" s="84"/>
      <c r="AV142" s="84"/>
      <c r="AW142" s="84"/>
      <c r="AX142" s="84"/>
      <c r="AY142" s="84"/>
      <c r="AZ142" s="84"/>
      <c r="BA142" s="84"/>
      <c r="BB142" s="84"/>
      <c r="BC142" s="84"/>
      <c r="BD142" s="84"/>
      <c r="BE142" s="84"/>
      <c r="BF142" s="84"/>
      <c r="BG142" s="84"/>
      <c r="BH142" s="84"/>
      <c r="BI142" s="84"/>
      <c r="BJ142" s="84"/>
      <c r="BK142" s="84"/>
      <c r="BL142" s="84"/>
      <c r="BM142" s="84"/>
      <c r="BN142" s="84"/>
      <c r="BO142" s="84"/>
      <c r="BP142" s="84"/>
      <c r="BQ142" s="84"/>
      <c r="BR142" s="84"/>
      <c r="BS142" s="84"/>
      <c r="BT142" s="84"/>
    </row>
    <row r="143" spans="1:72">
      <c r="A143" s="84"/>
      <c r="B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  <c r="AA143" s="84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  <c r="AL143" s="84"/>
      <c r="AM143" s="84"/>
      <c r="AN143" s="84"/>
      <c r="AO143" s="84"/>
      <c r="AP143" s="84"/>
      <c r="AQ143" s="84"/>
      <c r="AR143" s="84"/>
      <c r="AS143" s="84"/>
      <c r="AT143" s="84"/>
      <c r="AU143" s="84"/>
      <c r="AV143" s="84"/>
      <c r="AW143" s="84"/>
      <c r="AX143" s="84"/>
      <c r="AY143" s="84"/>
      <c r="AZ143" s="84"/>
      <c r="BA143" s="84"/>
      <c r="BB143" s="84"/>
      <c r="BC143" s="84"/>
      <c r="BD143" s="84"/>
      <c r="BE143" s="84"/>
      <c r="BF143" s="84"/>
      <c r="BG143" s="84"/>
      <c r="BH143" s="84"/>
      <c r="BI143" s="84"/>
      <c r="BJ143" s="84"/>
      <c r="BK143" s="84"/>
      <c r="BL143" s="84"/>
      <c r="BM143" s="84"/>
      <c r="BN143" s="84"/>
      <c r="BO143" s="84"/>
      <c r="BP143" s="84"/>
      <c r="BQ143" s="84"/>
      <c r="BR143" s="84"/>
      <c r="BS143" s="84"/>
      <c r="BT143" s="84"/>
    </row>
    <row r="144" spans="1:72">
      <c r="A144" s="84"/>
      <c r="B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  <c r="AA144" s="84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  <c r="AL144" s="84"/>
      <c r="AM144" s="84"/>
      <c r="AN144" s="84"/>
      <c r="AO144" s="84"/>
      <c r="AP144" s="84"/>
      <c r="AQ144" s="84"/>
      <c r="AR144" s="84"/>
      <c r="AS144" s="84"/>
      <c r="AT144" s="84"/>
      <c r="AU144" s="84"/>
      <c r="AV144" s="84"/>
      <c r="AW144" s="84"/>
      <c r="AX144" s="84"/>
      <c r="AY144" s="84"/>
      <c r="AZ144" s="84"/>
      <c r="BA144" s="84"/>
      <c r="BB144" s="84"/>
      <c r="BC144" s="84"/>
      <c r="BD144" s="84"/>
      <c r="BE144" s="84"/>
      <c r="BF144" s="84"/>
      <c r="BG144" s="84"/>
      <c r="BH144" s="84"/>
      <c r="BI144" s="84"/>
      <c r="BJ144" s="84"/>
      <c r="BK144" s="84"/>
      <c r="BL144" s="84"/>
      <c r="BM144" s="84"/>
      <c r="BN144" s="84"/>
      <c r="BO144" s="84"/>
      <c r="BP144" s="84"/>
      <c r="BQ144" s="84"/>
      <c r="BR144" s="84"/>
      <c r="BS144" s="84"/>
      <c r="BT144" s="84"/>
    </row>
    <row r="145" spans="1:72">
      <c r="A145" s="84"/>
      <c r="B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  <c r="AA145" s="84"/>
      <c r="AB145" s="84"/>
      <c r="AC145" s="84"/>
      <c r="AD145" s="84"/>
      <c r="AE145" s="84"/>
      <c r="AF145" s="84"/>
      <c r="AG145" s="84"/>
      <c r="AH145" s="84"/>
      <c r="AI145" s="84"/>
      <c r="AJ145" s="84"/>
      <c r="AK145" s="84"/>
      <c r="AL145" s="84"/>
      <c r="AM145" s="84"/>
      <c r="AN145" s="84"/>
      <c r="AO145" s="84"/>
      <c r="AP145" s="84"/>
      <c r="AQ145" s="84"/>
      <c r="AR145" s="84"/>
      <c r="AS145" s="84"/>
      <c r="AT145" s="84"/>
      <c r="AU145" s="84"/>
      <c r="AV145" s="84"/>
      <c r="AW145" s="84"/>
      <c r="AX145" s="84"/>
      <c r="AY145" s="84"/>
      <c r="AZ145" s="84"/>
      <c r="BA145" s="84"/>
      <c r="BB145" s="84"/>
      <c r="BC145" s="84"/>
      <c r="BD145" s="84"/>
      <c r="BE145" s="84"/>
      <c r="BF145" s="84"/>
      <c r="BG145" s="84"/>
      <c r="BH145" s="84"/>
      <c r="BI145" s="84"/>
      <c r="BJ145" s="84"/>
      <c r="BK145" s="84"/>
      <c r="BL145" s="84"/>
      <c r="BM145" s="84"/>
      <c r="BN145" s="84"/>
      <c r="BO145" s="84"/>
      <c r="BP145" s="84"/>
      <c r="BQ145" s="84"/>
      <c r="BR145" s="84"/>
      <c r="BS145" s="84"/>
      <c r="BT145" s="84"/>
    </row>
    <row r="146" spans="1:72">
      <c r="A146" s="84"/>
      <c r="B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  <c r="AA146" s="84"/>
      <c r="AB146" s="84"/>
      <c r="AC146" s="84"/>
      <c r="AD146" s="84"/>
      <c r="AE146" s="84"/>
      <c r="AF146" s="84"/>
      <c r="AG146" s="84"/>
      <c r="AH146" s="84"/>
      <c r="AI146" s="84"/>
      <c r="AJ146" s="84"/>
      <c r="AK146" s="84"/>
      <c r="AL146" s="84"/>
      <c r="AM146" s="84"/>
      <c r="AN146" s="84"/>
      <c r="AO146" s="84"/>
      <c r="AP146" s="84"/>
      <c r="AQ146" s="84"/>
      <c r="AR146" s="84"/>
      <c r="AS146" s="84"/>
      <c r="AT146" s="84"/>
      <c r="AU146" s="84"/>
      <c r="AV146" s="84"/>
      <c r="AW146" s="84"/>
      <c r="AX146" s="84"/>
      <c r="AY146" s="84"/>
      <c r="AZ146" s="84"/>
      <c r="BA146" s="84"/>
      <c r="BB146" s="84"/>
      <c r="BC146" s="84"/>
      <c r="BD146" s="84"/>
      <c r="BE146" s="84"/>
      <c r="BF146" s="84"/>
      <c r="BG146" s="84"/>
      <c r="BH146" s="84"/>
      <c r="BI146" s="84"/>
      <c r="BJ146" s="84"/>
      <c r="BK146" s="84"/>
      <c r="BL146" s="84"/>
      <c r="BM146" s="84"/>
      <c r="BN146" s="84"/>
      <c r="BO146" s="84"/>
      <c r="BP146" s="84"/>
      <c r="BQ146" s="84"/>
      <c r="BR146" s="84"/>
      <c r="BS146" s="84"/>
      <c r="BT146" s="84"/>
    </row>
    <row r="147" spans="1:72">
      <c r="A147" s="84"/>
      <c r="B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  <c r="AA147" s="84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  <c r="AL147" s="84"/>
      <c r="AM147" s="84"/>
      <c r="AN147" s="84"/>
      <c r="AO147" s="84"/>
      <c r="AP147" s="84"/>
      <c r="AQ147" s="84"/>
      <c r="AR147" s="84"/>
      <c r="AS147" s="84"/>
      <c r="AT147" s="84"/>
      <c r="AU147" s="84"/>
      <c r="AV147" s="84"/>
      <c r="AW147" s="84"/>
      <c r="AX147" s="84"/>
      <c r="AY147" s="84"/>
      <c r="AZ147" s="84"/>
      <c r="BA147" s="84"/>
      <c r="BB147" s="84"/>
      <c r="BC147" s="84"/>
      <c r="BD147" s="84"/>
      <c r="BE147" s="84"/>
      <c r="BF147" s="84"/>
      <c r="BG147" s="84"/>
      <c r="BH147" s="84"/>
      <c r="BI147" s="84"/>
      <c r="BJ147" s="84"/>
      <c r="BK147" s="84"/>
      <c r="BL147" s="84"/>
      <c r="BM147" s="84"/>
      <c r="BN147" s="84"/>
      <c r="BO147" s="84"/>
      <c r="BP147" s="84"/>
      <c r="BQ147" s="84"/>
      <c r="BR147" s="84"/>
      <c r="BS147" s="84"/>
      <c r="BT147" s="84"/>
    </row>
  </sheetData>
  <mergeCells count="5">
    <mergeCell ref="L4:S4"/>
    <mergeCell ref="L6:R6"/>
    <mergeCell ref="M8:N8"/>
    <mergeCell ref="P8:Q8"/>
    <mergeCell ref="B6:J6"/>
  </mergeCells>
  <conditionalFormatting sqref="G8:G115">
    <cfRule type="expression" dxfId="3" priority="3">
      <formula>G8&lt;J8</formula>
    </cfRule>
    <cfRule type="expression" dxfId="2" priority="4">
      <formula>G8&gt;H8</formula>
    </cfRule>
  </conditionalFormatting>
  <conditionalFormatting sqref="E8:F115">
    <cfRule type="expression" dxfId="1" priority="1">
      <formula>E8&lt;I8</formula>
    </cfRule>
    <cfRule type="expression" dxfId="0" priority="2">
      <formula>E8&gt;G8</formula>
    </cfRule>
  </conditionalFormatting>
  <hyperlinks>
    <hyperlink ref="B1" location="INICIO!A1" display="INICIO" xr:uid="{00000000-0004-0000-0A00-000000000000}"/>
    <hyperlink ref="B2" location="'GRÁFICO C'!A1" display="ATRÁS" xr:uid="{00000000-0004-0000-0A00-000001000000}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9</vt:i4>
      </vt:variant>
    </vt:vector>
  </HeadingPairs>
  <TitlesOfParts>
    <vt:vector size="20" baseType="lpstr">
      <vt:lpstr>INICIO</vt:lpstr>
      <vt:lpstr>FACTORES </vt:lpstr>
      <vt:lpstr>GRÁFICO X-R</vt:lpstr>
      <vt:lpstr>GRÁFICO X-S</vt:lpstr>
      <vt:lpstr>GRÁFICO X-S (n cambiante)</vt:lpstr>
      <vt:lpstr>GRÁFICO I</vt:lpstr>
      <vt:lpstr>GRÁFICO P</vt:lpstr>
      <vt:lpstr>GRÁFICO P (N CAMBIANTE)</vt:lpstr>
      <vt:lpstr>GRÁFICO NP</vt:lpstr>
      <vt:lpstr>GRÁFICO C</vt:lpstr>
      <vt:lpstr>GRÁFICO U</vt:lpstr>
      <vt:lpstr>FACTORES</vt:lpstr>
      <vt:lpstr>RESULTADOS</vt:lpstr>
      <vt:lpstr>RESULTADOSI</vt:lpstr>
      <vt:lpstr>RESULTADOSNP</vt:lpstr>
      <vt:lpstr>RESULTADOSP</vt:lpstr>
      <vt:lpstr>RESULTADOSPN</vt:lpstr>
      <vt:lpstr>'GRÁFICO X-R'!RESULTADOSXR</vt:lpstr>
      <vt:lpstr>'GRÁFICO X-S (n cambiante)'!RESULTADOSXR</vt:lpstr>
      <vt:lpstr>RESULTADOSXR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2021-05-05T20:02:45Z</dcterms:created>
  <dcterms:modified xsi:type="dcterms:W3CDTF">2021-06-25T23:02:36Z</dcterms:modified>
</cp:coreProperties>
</file>